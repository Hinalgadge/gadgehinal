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F983D71-DCCB-40CF-A8DC-391AEE2AF1AC}" xr6:coauthVersionLast="47" xr6:coauthVersionMax="47" xr10:uidLastSave="{00000000-0000-0000-0000-000000000000}"/>
  <bookViews>
    <workbookView xWindow="-108" yWindow="-108" windowWidth="23256" windowHeight="12456" xr2:uid="{DF942090-9BA5-440D-9901-A459BC4BF44E}"/>
  </bookViews>
  <sheets>
    <sheet name="Sheet2" sheetId="3" r:id="rId1"/>
    <sheet name="Insurance" sheetId="1" r:id="rId2"/>
    <sheet name="Sheet1" sheetId="2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5" i="1"/>
  <c r="L14" i="1"/>
  <c r="L13" i="1"/>
  <c r="L12" i="1"/>
  <c r="L9" i="1"/>
  <c r="L8" i="1"/>
  <c r="L7" i="1"/>
  <c r="I22" i="1"/>
  <c r="I21" i="1"/>
  <c r="L4" i="1"/>
  <c r="L3" i="1"/>
  <c r="L2" i="1"/>
  <c r="I18" i="1"/>
  <c r="I17" i="1"/>
  <c r="I16" i="1"/>
  <c r="I15" i="1"/>
  <c r="I12" i="1"/>
  <c r="I11" i="1"/>
  <c r="I10" i="1"/>
  <c r="I9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<sst xmlns="http://schemas.openxmlformats.org/spreadsheetml/2006/main" count="78" uniqueCount="48">
  <si>
    <t xml:space="preserve">INSURANCE </t>
  </si>
  <si>
    <t>Policy No.</t>
  </si>
  <si>
    <t>Customer Age</t>
  </si>
  <si>
    <t>Premium</t>
  </si>
  <si>
    <t>Claim Amount</t>
  </si>
  <si>
    <t>Policy Type</t>
  </si>
  <si>
    <t>Claim Status</t>
  </si>
  <si>
    <t>Health</t>
  </si>
  <si>
    <t>Vehicle</t>
  </si>
  <si>
    <t>Life</t>
  </si>
  <si>
    <t>Property</t>
  </si>
  <si>
    <t>No</t>
  </si>
  <si>
    <t>Yes</t>
  </si>
  <si>
    <t>Mathematical Functions</t>
  </si>
  <si>
    <t xml:space="preserve"> SUM (Premium)</t>
  </si>
  <si>
    <t>AVERAGE (Premium)</t>
  </si>
  <si>
    <t>MIN (Premium)</t>
  </si>
  <si>
    <t>MAX (Premium)</t>
  </si>
  <si>
    <t>COUNT</t>
  </si>
  <si>
    <t>Logical Function</t>
  </si>
  <si>
    <t>IF</t>
  </si>
  <si>
    <t>AND</t>
  </si>
  <si>
    <t>OR</t>
  </si>
  <si>
    <t>IF+ AND</t>
  </si>
  <si>
    <t>Text Functions</t>
  </si>
  <si>
    <t>LEFT</t>
  </si>
  <si>
    <t>RIGHT</t>
  </si>
  <si>
    <t>MID</t>
  </si>
  <si>
    <t>CONCAT</t>
  </si>
  <si>
    <t>Date Functions</t>
  </si>
  <si>
    <t>TODAY</t>
  </si>
  <si>
    <t>NOW</t>
  </si>
  <si>
    <t>DATEDIF</t>
  </si>
  <si>
    <t>Financial Functions</t>
  </si>
  <si>
    <t>PMT</t>
  </si>
  <si>
    <t>NPV</t>
  </si>
  <si>
    <t>Lookup Functions</t>
  </si>
  <si>
    <t>VLOOKUP</t>
  </si>
  <si>
    <t>HLOOKUP</t>
  </si>
  <si>
    <t>XLOOKUP</t>
  </si>
  <si>
    <t>Statistical Functions</t>
  </si>
  <si>
    <t>AVERAGE (Claim)</t>
  </si>
  <si>
    <t>MEDIAM(Claim)</t>
  </si>
  <si>
    <t>STDEV (Premium)</t>
  </si>
  <si>
    <t>COUNTIF (Claim=Yes)</t>
  </si>
  <si>
    <t>SUMIF (Claim=Yes)</t>
  </si>
  <si>
    <t>Sum of Claim Amount</t>
  </si>
  <si>
    <t>Sum of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</si>
</sst>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22" fontId="0" fillId="0" borderId="1" xfId="0" applyNumberFormat="1" applyBorder="1"/>
    <xf numFmtId="8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 i.xlsx]Sheet2!PivotTable1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Sum of Claim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F-4542-906A-3D0F1D5DB1C6}"/>
            </c:ext>
          </c:extLst>
        </c:ser>
        <c:ser>
          <c:idx val="1"/>
          <c:order val="1"/>
          <c:tx>
            <c:strRef>
              <c:f>Sheet2!$B$3</c:f>
              <c:strCache>
                <c:ptCount val="1"/>
                <c:pt idx="0">
                  <c:v>Sum of Premium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Sheet2!$B$4</c:f>
              <c:numCache>
                <c:formatCode>General</c:formatCode>
                <c:ptCount val="1"/>
                <c:pt idx="0">
                  <c:v>396000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9F-4542-906A-3D0F1D5DB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089071"/>
        <c:axId val="1850089551"/>
      </c:barChart>
      <c:catAx>
        <c:axId val="185008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89551"/>
        <c:crosses val="autoZero"/>
        <c:auto val="1"/>
        <c:lblAlgn val="ctr"/>
        <c:lblOffset val="100"/>
        <c:noMultiLvlLbl val="0"/>
      </c:catAx>
      <c:valAx>
        <c:axId val="185008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8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2700C-443B-B7E1-3F64-6C610B3B7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9.901875000003" createdVersion="8" refreshedVersion="8" minRefreshableVersion="3" recordCount="18" xr:uid="{AE51EA48-803E-4984-B98A-8FE6C219DDF9}">
  <cacheSource type="worksheet">
    <worksheetSource ref="A2:F20" sheet="Insurance"/>
  </cacheSource>
  <cacheFields count="6">
    <cacheField name="Policy No." numFmtId="0">
      <sharedItems containsSemiMixedTypes="0" containsString="0" containsNumber="1" containsInteger="1" minValue="1001" maxValue="1018"/>
    </cacheField>
    <cacheField name="Customer Age" numFmtId="0">
      <sharedItems containsSemiMixedTypes="0" containsString="0" containsNumber="1" containsInteger="1" minValue="25" maxValue="60"/>
    </cacheField>
    <cacheField name="Premium" numFmtId="0">
      <sharedItems containsSemiMixedTypes="0" containsString="0" containsNumber="1" containsInteger="1" minValue="12000" maxValue="30000"/>
    </cacheField>
    <cacheField name="Claim Amount" numFmtId="0">
      <sharedItems containsSemiMixedTypes="0" containsString="0" containsNumber="1" containsInteger="1" minValue="0" maxValue="8000"/>
    </cacheField>
    <cacheField name="Policy Type" numFmtId="0">
      <sharedItems/>
    </cacheField>
    <cacheField name="Claim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001"/>
    <n v="25"/>
    <n v="12000"/>
    <n v="0"/>
    <s v="Health"/>
    <s v="No"/>
  </r>
  <r>
    <n v="1002"/>
    <n v="31"/>
    <n v="18000"/>
    <n v="4000"/>
    <s v="Vehicle"/>
    <s v="Yes"/>
  </r>
  <r>
    <n v="1003"/>
    <n v="45"/>
    <n v="22000"/>
    <n v="5000"/>
    <s v="Life"/>
    <s v="Yes"/>
  </r>
  <r>
    <n v="1004"/>
    <n v="52"/>
    <n v="26000"/>
    <n v="0"/>
    <s v="Health"/>
    <s v="No"/>
  </r>
  <r>
    <n v="1005"/>
    <n v="38"/>
    <n v="15000"/>
    <n v="2000"/>
    <s v="Property"/>
    <s v="Yes"/>
  </r>
  <r>
    <n v="1006"/>
    <n v="47"/>
    <n v="24000"/>
    <n v="0"/>
    <s v="Life"/>
    <s v="No"/>
  </r>
  <r>
    <n v="1007"/>
    <n v="29"/>
    <n v="19000"/>
    <n v="3000"/>
    <s v="Vehicle"/>
    <s v="Yes"/>
  </r>
  <r>
    <n v="1008"/>
    <n v="56"/>
    <n v="28000"/>
    <n v="0"/>
    <s v="Health"/>
    <s v="No"/>
  </r>
  <r>
    <n v="1009"/>
    <n v="33"/>
    <n v="17000"/>
    <n v="2500"/>
    <s v="Property"/>
    <s v="Yes"/>
  </r>
  <r>
    <n v="1010"/>
    <n v="48"/>
    <n v="25000"/>
    <n v="0"/>
    <s v="Life"/>
    <s v="No"/>
  </r>
  <r>
    <n v="1011"/>
    <n v="41"/>
    <n v="23000"/>
    <n v="0"/>
    <s v="Vehicle"/>
    <s v="Yes"/>
  </r>
  <r>
    <n v="1012"/>
    <n v="60"/>
    <n v="30000"/>
    <n v="8000"/>
    <s v="Health"/>
    <s v="No"/>
  </r>
  <r>
    <n v="1013"/>
    <n v="35"/>
    <n v="20000"/>
    <n v="0"/>
    <s v="Life"/>
    <s v="No"/>
  </r>
  <r>
    <n v="1014"/>
    <n v="44"/>
    <n v="26000"/>
    <n v="6000"/>
    <s v="Property"/>
    <s v="Yes"/>
  </r>
  <r>
    <n v="1015"/>
    <n v="28"/>
    <n v="18000"/>
    <n v="0"/>
    <s v="Vehicle"/>
    <s v="No"/>
  </r>
  <r>
    <n v="1016"/>
    <n v="53"/>
    <n v="27000"/>
    <n v="5000"/>
    <s v="Health"/>
    <s v="Yes"/>
  </r>
  <r>
    <n v="1017"/>
    <n v="39"/>
    <n v="21000"/>
    <n v="0"/>
    <s v="Property"/>
    <s v="No"/>
  </r>
  <r>
    <n v="1018"/>
    <n v="50"/>
    <n v="25000"/>
    <n v="7000"/>
    <s v="Life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DE21B-9201-470A-9862-4DB47D83FF0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4" firstHeaderRow="0" firstDataRow="1" firstDataCol="0"/>
  <pivotFields count="6">
    <pivotField showAll="0"/>
    <pivotField showAll="0"/>
    <pivotField dataField="1" showAll="0"/>
    <pivotField dataField="1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laim Amount" fld="3" baseField="0" baseItem="0"/>
    <dataField name="Sum of Premium" fld="2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1A93-9E05-4949-A8C1-2A6D32D5C180}">
  <dimension ref="A3:B4"/>
  <sheetViews>
    <sheetView tabSelected="1" workbookViewId="0">
      <selection activeCell="A3" sqref="A3"/>
    </sheetView>
  </sheetViews>
  <sheetFormatPr defaultRowHeight="14.4" x14ac:dyDescent="0.3"/>
  <cols>
    <col min="1" max="1" width="19" bestFit="1" customWidth="1"/>
    <col min="2" max="3" width="14.77734375" bestFit="1" customWidth="1"/>
  </cols>
  <sheetData>
    <row r="3" spans="1:2" x14ac:dyDescent="0.3">
      <c r="A3" t="s">
        <v>46</v>
      </c>
      <c r="B3" t="s">
        <v>47</v>
      </c>
    </row>
    <row r="4" spans="1:2" x14ac:dyDescent="0.3">
      <c r="A4" s="11">
        <v>42500</v>
      </c>
      <c r="B4" s="11">
        <v>396000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9DDD-55B8-43F9-8605-85DA4B9C63D2}">
  <dimension ref="A1:L22"/>
  <sheetViews>
    <sheetView workbookViewId="0">
      <selection activeCell="A2" sqref="A2:F20"/>
    </sheetView>
  </sheetViews>
  <sheetFormatPr defaultRowHeight="14.4" x14ac:dyDescent="0.3"/>
  <cols>
    <col min="4" max="4" width="12.77734375" customWidth="1"/>
    <col min="5" max="5" width="9.77734375" bestFit="1" customWidth="1"/>
    <col min="6" max="6" width="11" bestFit="1" customWidth="1"/>
    <col min="8" max="8" width="17.77734375" bestFit="1" customWidth="1"/>
    <col min="9" max="9" width="13.109375" bestFit="1" customWidth="1"/>
    <col min="11" max="11" width="18.6640625" bestFit="1" customWidth="1"/>
    <col min="12" max="12" width="15.33203125" bestFit="1" customWidth="1"/>
  </cols>
  <sheetData>
    <row r="1" spans="1:12" ht="25.2" customHeight="1" x14ac:dyDescent="0.55000000000000004">
      <c r="A1" s="1" t="s">
        <v>0</v>
      </c>
      <c r="B1" s="1"/>
      <c r="C1" s="1"/>
      <c r="D1" s="1"/>
      <c r="E1" s="1"/>
      <c r="F1" s="1"/>
      <c r="H1" s="4" t="s">
        <v>13</v>
      </c>
      <c r="I1" s="4"/>
      <c r="K1" s="4" t="s">
        <v>29</v>
      </c>
      <c r="L1" s="4"/>
    </row>
    <row r="2" spans="1:12" ht="17.399999999999999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H2" s="5" t="s">
        <v>14</v>
      </c>
      <c r="I2" s="2">
        <f>SUM(C3:C20)</f>
        <v>396000</v>
      </c>
      <c r="K2" s="2" t="s">
        <v>30</v>
      </c>
      <c r="L2" s="8">
        <f ca="1">TODAY()</f>
        <v>46069</v>
      </c>
    </row>
    <row r="3" spans="1:12" x14ac:dyDescent="0.3">
      <c r="A3" s="2">
        <v>1001</v>
      </c>
      <c r="B3" s="2">
        <v>25</v>
      </c>
      <c r="C3" s="2">
        <v>12000</v>
      </c>
      <c r="D3" s="2">
        <v>0</v>
      </c>
      <c r="E3" s="2" t="s">
        <v>7</v>
      </c>
      <c r="F3" s="2" t="s">
        <v>11</v>
      </c>
      <c r="H3" s="2" t="s">
        <v>15</v>
      </c>
      <c r="I3" s="2">
        <f>AVERAGE(C3:C20)</f>
        <v>22000</v>
      </c>
      <c r="K3" s="2" t="s">
        <v>31</v>
      </c>
      <c r="L3" s="9">
        <f ca="1">NOW()</f>
        <v>46069.903295949072</v>
      </c>
    </row>
    <row r="4" spans="1:12" x14ac:dyDescent="0.3">
      <c r="A4" s="2">
        <v>1002</v>
      </c>
      <c r="B4" s="2">
        <v>31</v>
      </c>
      <c r="C4" s="2">
        <v>18000</v>
      </c>
      <c r="D4" s="2">
        <v>4000</v>
      </c>
      <c r="E4" s="2" t="s">
        <v>8</v>
      </c>
      <c r="F4" s="2" t="s">
        <v>12</v>
      </c>
      <c r="H4" s="2" t="s">
        <v>16</v>
      </c>
      <c r="I4" s="2">
        <f>MIN(C3:C20)</f>
        <v>12000</v>
      </c>
      <c r="K4" s="2" t="s">
        <v>32</v>
      </c>
      <c r="L4" s="2">
        <f ca="1">DATEDIF("2021-01-01",TODAY(),"y")</f>
        <v>5</v>
      </c>
    </row>
    <row r="5" spans="1:12" x14ac:dyDescent="0.3">
      <c r="A5" s="2">
        <v>1003</v>
      </c>
      <c r="B5" s="2">
        <v>45</v>
      </c>
      <c r="C5" s="2">
        <v>22000</v>
      </c>
      <c r="D5" s="2">
        <v>5000</v>
      </c>
      <c r="E5" s="2" t="s">
        <v>9</v>
      </c>
      <c r="F5" s="2" t="s">
        <v>12</v>
      </c>
      <c r="H5" s="2" t="s">
        <v>17</v>
      </c>
      <c r="I5" s="2">
        <f>MAX(C3:C20)</f>
        <v>30000</v>
      </c>
    </row>
    <row r="6" spans="1:12" x14ac:dyDescent="0.3">
      <c r="A6" s="2">
        <v>1004</v>
      </c>
      <c r="B6" s="2">
        <v>52</v>
      </c>
      <c r="C6" s="2">
        <v>26000</v>
      </c>
      <c r="D6" s="2">
        <v>0</v>
      </c>
      <c r="E6" s="2" t="s">
        <v>7</v>
      </c>
      <c r="F6" s="2" t="s">
        <v>11</v>
      </c>
      <c r="H6" s="2" t="s">
        <v>18</v>
      </c>
      <c r="I6" s="2">
        <f>COUNT(C3:C20)</f>
        <v>18</v>
      </c>
      <c r="K6" s="7" t="s">
        <v>36</v>
      </c>
      <c r="L6" s="7"/>
    </row>
    <row r="7" spans="1:12" x14ac:dyDescent="0.3">
      <c r="A7" s="2">
        <v>1005</v>
      </c>
      <c r="B7" s="2">
        <v>38</v>
      </c>
      <c r="C7" s="2">
        <v>15000</v>
      </c>
      <c r="D7" s="2">
        <v>2000</v>
      </c>
      <c r="E7" s="2" t="s">
        <v>10</v>
      </c>
      <c r="F7" s="2" t="s">
        <v>12</v>
      </c>
      <c r="K7" s="2" t="s">
        <v>37</v>
      </c>
      <c r="L7" s="2" t="str">
        <f>VLOOKUP(1010,A3:F20,5,FALSE)</f>
        <v>Life</v>
      </c>
    </row>
    <row r="8" spans="1:12" x14ac:dyDescent="0.3">
      <c r="A8" s="2">
        <v>1006</v>
      </c>
      <c r="B8" s="2">
        <v>47</v>
      </c>
      <c r="C8" s="2">
        <v>24000</v>
      </c>
      <c r="D8" s="2">
        <v>0</v>
      </c>
      <c r="E8" s="2" t="s">
        <v>9</v>
      </c>
      <c r="F8" s="2" t="s">
        <v>11</v>
      </c>
      <c r="H8" s="7" t="s">
        <v>19</v>
      </c>
      <c r="I8" s="7"/>
      <c r="K8" s="2" t="s">
        <v>38</v>
      </c>
      <c r="L8" s="2">
        <f>HLOOKUP("Premium",A2:F20,14,FALSE)</f>
        <v>20000</v>
      </c>
    </row>
    <row r="9" spans="1:12" x14ac:dyDescent="0.3">
      <c r="A9" s="2">
        <v>1007</v>
      </c>
      <c r="B9" s="2">
        <v>29</v>
      </c>
      <c r="C9" s="2">
        <v>19000</v>
      </c>
      <c r="D9" s="2">
        <v>3000</v>
      </c>
      <c r="E9" s="2" t="s">
        <v>8</v>
      </c>
      <c r="F9" s="2" t="s">
        <v>12</v>
      </c>
      <c r="H9" s="2" t="s">
        <v>20</v>
      </c>
      <c r="I9" s="2" t="str">
        <f>IF(D3&gt;0,"CLAIM","NO CLAIM")</f>
        <v>NO CLAIM</v>
      </c>
      <c r="K9" s="2" t="s">
        <v>39</v>
      </c>
      <c r="L9" s="2" t="str">
        <f>_xlfn.XLOOKUP(1005,A3:A20,E3:E20)</f>
        <v>Property</v>
      </c>
    </row>
    <row r="10" spans="1:12" x14ac:dyDescent="0.3">
      <c r="A10" s="2">
        <v>1008</v>
      </c>
      <c r="B10" s="2">
        <v>56</v>
      </c>
      <c r="C10" s="2">
        <v>28000</v>
      </c>
      <c r="D10" s="2">
        <v>0</v>
      </c>
      <c r="E10" s="2" t="s">
        <v>7</v>
      </c>
      <c r="F10" s="2" t="s">
        <v>11</v>
      </c>
      <c r="H10" s="2" t="s">
        <v>21</v>
      </c>
      <c r="I10" s="2" t="b">
        <f>AND(C3&gt;15000,D3&gt;0)</f>
        <v>0</v>
      </c>
    </row>
    <row r="11" spans="1:12" x14ac:dyDescent="0.3">
      <c r="A11" s="2">
        <v>1009</v>
      </c>
      <c r="B11" s="2">
        <v>33</v>
      </c>
      <c r="C11" s="2">
        <v>17000</v>
      </c>
      <c r="D11" s="2">
        <v>2500</v>
      </c>
      <c r="E11" s="2" t="s">
        <v>10</v>
      </c>
      <c r="F11" s="2" t="s">
        <v>12</v>
      </c>
      <c r="H11" s="2" t="s">
        <v>22</v>
      </c>
      <c r="I11" s="2" t="b">
        <f>OR(C3&gt;20000,D3&gt;0)</f>
        <v>0</v>
      </c>
      <c r="K11" s="7" t="s">
        <v>40</v>
      </c>
      <c r="L11" s="7"/>
    </row>
    <row r="12" spans="1:12" x14ac:dyDescent="0.3">
      <c r="A12" s="2">
        <v>1010</v>
      </c>
      <c r="B12" s="2">
        <v>48</v>
      </c>
      <c r="C12" s="2">
        <v>25000</v>
      </c>
      <c r="D12" s="2">
        <v>0</v>
      </c>
      <c r="E12" s="2" t="s">
        <v>9</v>
      </c>
      <c r="F12" s="2" t="s">
        <v>11</v>
      </c>
      <c r="H12" s="2" t="s">
        <v>23</v>
      </c>
      <c r="I12" s="2" t="str">
        <f>IF(AND(D3&gt;5000,C3&gt;20000),"HIGH VALUE CLAIM","NORMAL")</f>
        <v>NORMAL</v>
      </c>
      <c r="K12" s="2" t="s">
        <v>41</v>
      </c>
      <c r="L12" s="2">
        <f>AVERAGE(D3:D20)</f>
        <v>2361.1111111111113</v>
      </c>
    </row>
    <row r="13" spans="1:12" x14ac:dyDescent="0.3">
      <c r="A13" s="2">
        <v>1011</v>
      </c>
      <c r="B13" s="2">
        <v>41</v>
      </c>
      <c r="C13" s="2">
        <v>23000</v>
      </c>
      <c r="D13" s="2">
        <v>0</v>
      </c>
      <c r="E13" s="2" t="s">
        <v>8</v>
      </c>
      <c r="F13" s="2" t="s">
        <v>12</v>
      </c>
      <c r="K13" s="2" t="s">
        <v>42</v>
      </c>
      <c r="L13" s="2">
        <f>MEDIAN(D3:D20)</f>
        <v>1000</v>
      </c>
    </row>
    <row r="14" spans="1:12" ht="18" x14ac:dyDescent="0.35">
      <c r="A14" s="2">
        <v>1012</v>
      </c>
      <c r="B14" s="2">
        <v>60</v>
      </c>
      <c r="C14" s="2">
        <v>30000</v>
      </c>
      <c r="D14" s="2">
        <v>8000</v>
      </c>
      <c r="E14" s="2" t="s">
        <v>7</v>
      </c>
      <c r="F14" s="2" t="s">
        <v>11</v>
      </c>
      <c r="H14" s="6" t="s">
        <v>24</v>
      </c>
      <c r="I14" s="6"/>
      <c r="K14" s="2" t="s">
        <v>43</v>
      </c>
      <c r="L14" s="2">
        <f>STDEV(C3:C20)</f>
        <v>4850.7125007266595</v>
      </c>
    </row>
    <row r="15" spans="1:12" x14ac:dyDescent="0.3">
      <c r="A15" s="2">
        <v>1013</v>
      </c>
      <c r="B15" s="2">
        <v>35</v>
      </c>
      <c r="C15" s="2">
        <v>20000</v>
      </c>
      <c r="D15" s="2">
        <v>0</v>
      </c>
      <c r="E15" s="2" t="s">
        <v>9</v>
      </c>
      <c r="F15" s="2" t="s">
        <v>11</v>
      </c>
      <c r="H15" s="2" t="s">
        <v>25</v>
      </c>
      <c r="I15" s="2" t="str">
        <f>LEFT(E3,3)</f>
        <v>Hea</v>
      </c>
      <c r="K15" s="2" t="s">
        <v>44</v>
      </c>
      <c r="L15" s="2">
        <f>COUNTIF(F3:F20,"Yes")</f>
        <v>9</v>
      </c>
    </row>
    <row r="16" spans="1:12" x14ac:dyDescent="0.3">
      <c r="A16" s="2">
        <v>1014</v>
      </c>
      <c r="B16" s="2">
        <v>44</v>
      </c>
      <c r="C16" s="2">
        <v>26000</v>
      </c>
      <c r="D16" s="2">
        <v>6000</v>
      </c>
      <c r="E16" s="2" t="s">
        <v>10</v>
      </c>
      <c r="F16" s="2" t="s">
        <v>12</v>
      </c>
      <c r="H16" s="2" t="s">
        <v>26</v>
      </c>
      <c r="I16" s="2" t="str">
        <f>RIGHT(E4,4)</f>
        <v>icle</v>
      </c>
      <c r="K16" s="2" t="s">
        <v>45</v>
      </c>
      <c r="L16" s="2">
        <f>SUMIF(F3:F20,"Yes",D3:D20)</f>
        <v>34500</v>
      </c>
    </row>
    <row r="17" spans="1:9" x14ac:dyDescent="0.3">
      <c r="A17" s="2">
        <v>1015</v>
      </c>
      <c r="B17" s="2">
        <v>28</v>
      </c>
      <c r="C17" s="2">
        <v>18000</v>
      </c>
      <c r="D17" s="2">
        <v>0</v>
      </c>
      <c r="E17" s="2" t="s">
        <v>8</v>
      </c>
      <c r="F17" s="2" t="s">
        <v>11</v>
      </c>
      <c r="H17" s="2" t="s">
        <v>27</v>
      </c>
      <c r="I17" s="2" t="str">
        <f>MID(E7,2,3)</f>
        <v>rop</v>
      </c>
    </row>
    <row r="18" spans="1:9" x14ac:dyDescent="0.3">
      <c r="A18" s="2">
        <v>1016</v>
      </c>
      <c r="B18" s="2">
        <v>53</v>
      </c>
      <c r="C18" s="2">
        <v>27000</v>
      </c>
      <c r="D18" s="2">
        <v>5000</v>
      </c>
      <c r="E18" s="2" t="s">
        <v>7</v>
      </c>
      <c r="F18" s="2" t="s">
        <v>12</v>
      </c>
      <c r="H18" s="2" t="s">
        <v>28</v>
      </c>
      <c r="I18" s="2" t="str">
        <f>_xlfn.CONCAT(E13,"$",C3)</f>
        <v>Vehicle$12000</v>
      </c>
    </row>
    <row r="19" spans="1:9" x14ac:dyDescent="0.3">
      <c r="A19" s="2">
        <v>1017</v>
      </c>
      <c r="B19" s="2">
        <v>39</v>
      </c>
      <c r="C19" s="2">
        <v>21000</v>
      </c>
      <c r="D19" s="2">
        <v>0</v>
      </c>
      <c r="E19" s="2" t="s">
        <v>10</v>
      </c>
      <c r="F19" s="2" t="s">
        <v>11</v>
      </c>
    </row>
    <row r="20" spans="1:9" x14ac:dyDescent="0.3">
      <c r="A20" s="2">
        <v>1018</v>
      </c>
      <c r="B20" s="2">
        <v>50</v>
      </c>
      <c r="C20" s="2">
        <v>25000</v>
      </c>
      <c r="D20" s="2">
        <v>7000</v>
      </c>
      <c r="E20" s="2" t="s">
        <v>9</v>
      </c>
      <c r="F20" s="2" t="s">
        <v>12</v>
      </c>
      <c r="H20" s="7" t="s">
        <v>33</v>
      </c>
      <c r="I20" s="7"/>
    </row>
    <row r="21" spans="1:9" x14ac:dyDescent="0.3">
      <c r="H21" s="2" t="s">
        <v>34</v>
      </c>
      <c r="I21" s="10">
        <f>PMT(10%/12,12,25000)</f>
        <v>-2197.8971807502398</v>
      </c>
    </row>
    <row r="22" spans="1:9" x14ac:dyDescent="0.3">
      <c r="H22" s="2" t="s">
        <v>35</v>
      </c>
      <c r="I22" s="10">
        <f>NPV(10%,C3:C20)</f>
        <v>171690.48200945978</v>
      </c>
    </row>
  </sheetData>
  <mergeCells count="8">
    <mergeCell ref="H20:I20"/>
    <mergeCell ref="A1:F1"/>
    <mergeCell ref="H1:I1"/>
    <mergeCell ref="H8:I8"/>
    <mergeCell ref="H14:I14"/>
    <mergeCell ref="K1:L1"/>
    <mergeCell ref="K6:L6"/>
    <mergeCell ref="K11:L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805D-4590-45AE-A31D-0CCB5107FF2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Insurance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2026-02-16T15:06:01Z</dcterms:created>
  <dcterms:modified xsi:type="dcterms:W3CDTF">2026-02-16T16:13:09Z</dcterms:modified>
</cp:coreProperties>
</file>