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0AABB28-A11D-4168-8B19-F28C59B47A0C}" xr6:coauthVersionLast="47" xr6:coauthVersionMax="47" xr10:uidLastSave="{00000000-0000-0000-0000-000000000000}"/>
  <bookViews>
    <workbookView xWindow="-108" yWindow="-108" windowWidth="23256" windowHeight="12456" xr2:uid="{AB179C10-C313-474A-9B53-C7AA191C0363}"/>
  </bookViews>
  <sheets>
    <sheet name="Sales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K13" i="1"/>
  <c r="K10" i="1"/>
  <c r="K9" i="1"/>
  <c r="K8" i="1"/>
  <c r="K5" i="1"/>
  <c r="K4" i="1"/>
  <c r="H24" i="1"/>
  <c r="H23" i="1"/>
  <c r="H22" i="1"/>
  <c r="H19" i="1"/>
  <c r="H18" i="1"/>
  <c r="H17" i="1"/>
  <c r="H16" i="1"/>
  <c r="H13" i="1"/>
  <c r="H12" i="1"/>
  <c r="H11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<sst xmlns="http://schemas.openxmlformats.org/spreadsheetml/2006/main" count="104" uniqueCount="64">
  <si>
    <t>Date</t>
  </si>
  <si>
    <t>Product</t>
  </si>
  <si>
    <t>Region</t>
  </si>
  <si>
    <t>Sales Amount</t>
  </si>
  <si>
    <t>Profit</t>
  </si>
  <si>
    <t>Phone</t>
  </si>
  <si>
    <t>Laptop</t>
  </si>
  <si>
    <t>Tablet</t>
  </si>
  <si>
    <t>Camera</t>
  </si>
  <si>
    <t>Headphones</t>
  </si>
  <si>
    <t>Smartwatch</t>
  </si>
  <si>
    <t>Printer</t>
  </si>
  <si>
    <t>Router</t>
  </si>
  <si>
    <t>Monitor</t>
  </si>
  <si>
    <t>Speaker</t>
  </si>
  <si>
    <t>North</t>
  </si>
  <si>
    <t>South</t>
  </si>
  <si>
    <t>East</t>
  </si>
  <si>
    <t>West</t>
  </si>
  <si>
    <t>Mathematical Functions</t>
  </si>
  <si>
    <t>DAILY SALES REPORT</t>
  </si>
  <si>
    <t>Total Sales Amount=</t>
  </si>
  <si>
    <t>Average Sales Amount=</t>
  </si>
  <si>
    <t>Minimum Sales Amount=</t>
  </si>
  <si>
    <t xml:space="preserve">Maximum </t>
  </si>
  <si>
    <t>Keyboard</t>
  </si>
  <si>
    <t>Mouse</t>
  </si>
  <si>
    <t>Webcam</t>
  </si>
  <si>
    <t>Projector</t>
  </si>
  <si>
    <t>Charger</t>
  </si>
  <si>
    <t>SSD</t>
  </si>
  <si>
    <t>Monitor 2</t>
  </si>
  <si>
    <t>Phone 2</t>
  </si>
  <si>
    <t>Tablet 2</t>
  </si>
  <si>
    <t>Camera 2</t>
  </si>
  <si>
    <t>Count of Entries</t>
  </si>
  <si>
    <t>Logical Functions</t>
  </si>
  <si>
    <t>IF</t>
  </si>
  <si>
    <t>AND</t>
  </si>
  <si>
    <t>OR</t>
  </si>
  <si>
    <t>Text Functions</t>
  </si>
  <si>
    <t>LEFT</t>
  </si>
  <si>
    <t>RIGHT</t>
  </si>
  <si>
    <t>MID</t>
  </si>
  <si>
    <t>CONCAT</t>
  </si>
  <si>
    <t>Date Functions</t>
  </si>
  <si>
    <t>TODAY</t>
  </si>
  <si>
    <t>NOW</t>
  </si>
  <si>
    <t>DATEDIF</t>
  </si>
  <si>
    <t>Financial Functions</t>
  </si>
  <si>
    <t>PMT</t>
  </si>
  <si>
    <t>NPV</t>
  </si>
  <si>
    <t>Lookup Functions</t>
  </si>
  <si>
    <t>VLOOKUP</t>
  </si>
  <si>
    <t>HLOOKUP</t>
  </si>
  <si>
    <t>XLOOKUP</t>
  </si>
  <si>
    <t>Statistical Functions</t>
  </si>
  <si>
    <t>Mean</t>
  </si>
  <si>
    <t>Median</t>
  </si>
  <si>
    <t>Mode</t>
  </si>
  <si>
    <t>Standard Deviation</t>
  </si>
  <si>
    <t>Correlation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</si>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</sst>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22" fontId="0" fillId="0" borderId="1" xfId="0" applyNumberFormat="1" applyBorder="1"/>
    <xf numFmtId="8" fontId="0" fillId="0" borderId="1" xfId="0" applyNumberFormat="1" applyBorder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[Book1.xlsx]Sales!PivotTable1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06736"/>
        <c:axId val="793812976"/>
      </c:barChart>
      <c:catAx>
        <c:axId val="79380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12976"/>
        <c:crosses val="autoZero"/>
        <c:auto val="1"/>
        <c:lblAlgn val="ctr"/>
        <c:lblOffset val="100"/>
        <c:noMultiLvlLbl val="0"/>
      </c:catAx>
      <c:valAx>
        <c:axId val="7938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108856</xdr:colOff>
      <xdr:row>6</xdr:row>
      <xdr:rowOff>156211</xdr:rowOff>
    </xdr:from>
    <xdr:to>
      <xdr:col>20</xdr:col>
      <xdr:colOff>235856</xdr:colOff>
      <xdr:row>14</xdr:row>
      <xdr:rowOff>18143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B3B60-4210-C917-7608-49563FAD1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965790162038" createdVersion="8" refreshedVersion="8" minRefreshableVersion="3" recordCount="20" xr:uid="{6918F8E7-2CBF-4C9A-8760-87D73093D771}">
  <cacheSource type="worksheet">
    <worksheetSource ref="A3:E23" sheet="Sales"/>
  </cacheSource>
  <cacheFields count="5">
    <cacheField name="Date" numFmtId="14">
      <sharedItems containsSemiMixedTypes="0" containsNonDate="0" containsDate="1" containsString="0" minDate="2026-01-01T00:00:00" maxDate="2026-01-21T00:00:00"/>
    </cacheField>
    <cacheField name="Product" numFmtId="0">
      <sharedItems count="20">
        <s v="Phone"/>
        <s v="Laptop"/>
        <s v="Tablet"/>
        <s v="Camera"/>
        <s v="Headphones"/>
        <s v="Smartwatch"/>
        <s v="Printer"/>
        <s v="Router"/>
        <s v="Monitor"/>
        <s v="Speaker"/>
        <s v="Keyboard"/>
        <s v="Mouse"/>
        <s v="Webcam"/>
        <s v="Projector"/>
        <s v="Charger"/>
        <s v="SSD"/>
        <s v="Monitor 2"/>
        <s v="Phone 2"/>
        <s v="Tablet 2"/>
        <s v="Camera 2"/>
      </sharedItems>
    </cacheField>
    <cacheField name="Region" numFmtId="0">
      <sharedItems count="4">
        <s v="North"/>
        <s v="South"/>
        <s v="East"/>
        <s v="West"/>
      </sharedItems>
    </cacheField>
    <cacheField name="Sales Amount" numFmtId="0">
      <sharedItems containsSemiMixedTypes="0" containsString="0" containsNumber="1" containsInteger="1" minValue="23000" maxValue="62000"/>
    </cacheField>
    <cacheField name="Profit" numFmtId="0">
      <sharedItems containsSemiMixedTypes="0" containsString="0" containsNumber="1" containsInteger="1" minValue="2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1-01T00:00:00"/>
    <x v="0"/>
    <x v="0"/>
    <n v="62000"/>
    <n v="9000"/>
  </r>
  <r>
    <d v="2026-01-02T00:00:00"/>
    <x v="1"/>
    <x v="1"/>
    <n v="54000"/>
    <n v="7000"/>
  </r>
  <r>
    <d v="2026-01-03T00:00:00"/>
    <x v="2"/>
    <x v="2"/>
    <n v="31000"/>
    <n v="5000"/>
  </r>
  <r>
    <d v="2026-01-04T00:00:00"/>
    <x v="3"/>
    <x v="3"/>
    <n v="42000"/>
    <n v="6000"/>
  </r>
  <r>
    <d v="2026-01-05T00:00:00"/>
    <x v="4"/>
    <x v="0"/>
    <n v="25000"/>
    <n v="3000"/>
  </r>
  <r>
    <d v="2026-01-06T00:00:00"/>
    <x v="5"/>
    <x v="1"/>
    <n v="37000"/>
    <n v="4000"/>
  </r>
  <r>
    <d v="2026-01-07T00:00:00"/>
    <x v="6"/>
    <x v="2"/>
    <n v="33000"/>
    <n v="3500"/>
  </r>
  <r>
    <d v="2026-01-08T00:00:00"/>
    <x v="7"/>
    <x v="3"/>
    <n v="27000"/>
    <n v="2500"/>
  </r>
  <r>
    <d v="2026-01-09T00:00:00"/>
    <x v="8"/>
    <x v="0"/>
    <n v="48000"/>
    <n v="6500"/>
  </r>
  <r>
    <d v="2026-01-10T00:00:00"/>
    <x v="9"/>
    <x v="2"/>
    <n v="30000"/>
    <n v="3200"/>
  </r>
  <r>
    <d v="2026-01-11T00:00:00"/>
    <x v="10"/>
    <x v="1"/>
    <n v="28000"/>
    <n v="3100"/>
  </r>
  <r>
    <d v="2026-01-12T00:00:00"/>
    <x v="11"/>
    <x v="3"/>
    <n v="26000"/>
    <n v="2900"/>
  </r>
  <r>
    <d v="2026-01-13T00:00:00"/>
    <x v="12"/>
    <x v="0"/>
    <n v="35000"/>
    <n v="4300"/>
  </r>
  <r>
    <d v="2026-01-14T00:00:00"/>
    <x v="13"/>
    <x v="2"/>
    <n v="56000"/>
    <n v="7700"/>
  </r>
  <r>
    <d v="2026-01-15T00:00:00"/>
    <x v="14"/>
    <x v="3"/>
    <n v="23000"/>
    <n v="2800"/>
  </r>
  <r>
    <d v="2026-01-16T00:00:00"/>
    <x v="15"/>
    <x v="1"/>
    <n v="47000"/>
    <n v="6900"/>
  </r>
  <r>
    <d v="2026-01-17T00:00:00"/>
    <x v="16"/>
    <x v="2"/>
    <n v="52000"/>
    <n v="7400"/>
  </r>
  <r>
    <d v="2026-01-18T00:00:00"/>
    <x v="17"/>
    <x v="0"/>
    <n v="60000"/>
    <n v="8800"/>
  </r>
  <r>
    <d v="2026-01-19T00:00:00"/>
    <x v="18"/>
    <x v="1"/>
    <n v="41000"/>
    <n v="5400"/>
  </r>
  <r>
    <d v="2026-01-20T00:00:00"/>
    <x v="19"/>
    <x v="3"/>
    <n v="39000"/>
    <n v="5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18192-E2C8-41F6-B5D2-E965AD4A3E8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N30" firstHeaderRow="1" firstDataRow="1" firstDataCol="1"/>
  <pivotFields count="5">
    <pivotField numFmtId="14" showAll="0"/>
    <pivotField axis="axisRow" showAll="0">
      <items count="21">
        <item x="3"/>
        <item x="19"/>
        <item x="14"/>
        <item x="4"/>
        <item x="10"/>
        <item x="1"/>
        <item x="8"/>
        <item x="16"/>
        <item x="11"/>
        <item x="0"/>
        <item x="17"/>
        <item x="6"/>
        <item x="13"/>
        <item x="7"/>
        <item x="5"/>
        <item x="9"/>
        <item x="15"/>
        <item x="2"/>
        <item x="18"/>
        <item x="1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2"/>
    <field x="1"/>
  </rowFields>
  <rowItems count="25">
    <i>
      <x/>
    </i>
    <i r="1">
      <x v="7"/>
    </i>
    <i r="1">
      <x v="11"/>
    </i>
    <i r="1">
      <x v="12"/>
    </i>
    <i r="1">
      <x v="15"/>
    </i>
    <i r="1">
      <x v="17"/>
    </i>
    <i>
      <x v="1"/>
    </i>
    <i r="1">
      <x v="3"/>
    </i>
    <i r="1">
      <x v="6"/>
    </i>
    <i r="1">
      <x v="9"/>
    </i>
    <i r="1">
      <x v="10"/>
    </i>
    <i r="1">
      <x v="19"/>
    </i>
    <i>
      <x v="2"/>
    </i>
    <i r="1">
      <x v="4"/>
    </i>
    <i r="1">
      <x v="5"/>
    </i>
    <i r="1">
      <x v="14"/>
    </i>
    <i r="1">
      <x v="16"/>
    </i>
    <i r="1">
      <x v="18"/>
    </i>
    <i>
      <x v="3"/>
    </i>
    <i r="1">
      <x/>
    </i>
    <i r="1">
      <x v="1"/>
    </i>
    <i r="1">
      <x v="2"/>
    </i>
    <i r="1">
      <x v="8"/>
    </i>
    <i r="1"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1F58-A64D-4F56-A8FB-C3D13D03487E}">
  <dimension ref="A1:N30"/>
  <sheetViews>
    <sheetView tabSelected="1" zoomScale="84" workbookViewId="0">
      <selection activeCell="P6" sqref="P6"/>
    </sheetView>
  </sheetViews>
  <sheetFormatPr defaultRowHeight="14.4" x14ac:dyDescent="0.3"/>
  <cols>
    <col min="1" max="1" width="10.33203125" bestFit="1" customWidth="1"/>
    <col min="2" max="2" width="11.21875" customWidth="1"/>
    <col min="4" max="4" width="12.44140625" customWidth="1"/>
    <col min="7" max="7" width="24.21875" customWidth="1"/>
    <col min="8" max="8" width="15.33203125" bestFit="1" customWidth="1"/>
    <col min="10" max="10" width="17.33203125" bestFit="1" customWidth="1"/>
    <col min="11" max="11" width="10.44140625" bestFit="1" customWidth="1"/>
    <col min="14" max="14" width="14.33203125" bestFit="1" customWidth="1"/>
  </cols>
  <sheetData>
    <row r="1" spans="1:14" ht="25.8" x14ac:dyDescent="0.5">
      <c r="A1" s="12" t="s">
        <v>20</v>
      </c>
      <c r="B1" s="12"/>
      <c r="C1" s="12"/>
      <c r="D1" s="12"/>
      <c r="E1" s="12"/>
      <c r="G1" s="3"/>
    </row>
    <row r="2" spans="1:14" x14ac:dyDescent="0.3">
      <c r="A2" s="4"/>
    </row>
    <row r="3" spans="1:14" ht="21" customHeigh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G3" s="13" t="s">
        <v>19</v>
      </c>
      <c r="H3" s="13"/>
      <c r="J3" s="11" t="s">
        <v>49</v>
      </c>
      <c r="K3" s="11"/>
    </row>
    <row r="4" spans="1:14" x14ac:dyDescent="0.3">
      <c r="A4" s="1">
        <v>46023</v>
      </c>
      <c r="B4" s="2" t="s">
        <v>5</v>
      </c>
      <c r="C4" s="2" t="s">
        <v>15</v>
      </c>
      <c r="D4" s="2">
        <v>62000</v>
      </c>
      <c r="E4" s="2">
        <v>9000</v>
      </c>
      <c r="G4" s="2" t="s">
        <v>21</v>
      </c>
      <c r="H4" s="2">
        <f>SUM(D4:D23)</f>
        <v>796000</v>
      </c>
      <c r="J4" s="2" t="s">
        <v>50</v>
      </c>
      <c r="K4" s="10">
        <f>PMT(10%/12,12,-50000)</f>
        <v>4395.7943615004797</v>
      </c>
    </row>
    <row r="5" spans="1:14" x14ac:dyDescent="0.3">
      <c r="A5" s="1">
        <v>46024</v>
      </c>
      <c r="B5" s="2" t="s">
        <v>6</v>
      </c>
      <c r="C5" s="2" t="s">
        <v>16</v>
      </c>
      <c r="D5" s="2">
        <v>54000</v>
      </c>
      <c r="E5" s="2">
        <v>7000</v>
      </c>
      <c r="G5" s="2" t="s">
        <v>22</v>
      </c>
      <c r="H5" s="2">
        <f>AVERAGE(D4:D23)</f>
        <v>39800</v>
      </c>
      <c r="J5" s="2" t="s">
        <v>51</v>
      </c>
      <c r="K5" s="10">
        <f>NPV(10%,E4:E23)</f>
        <v>45053.356127992301</v>
      </c>
      <c r="N5" s="15" t="s">
        <v>62</v>
      </c>
    </row>
    <row r="6" spans="1:14" x14ac:dyDescent="0.3">
      <c r="A6" s="1">
        <v>46025</v>
      </c>
      <c r="B6" s="2" t="s">
        <v>7</v>
      </c>
      <c r="C6" s="2" t="s">
        <v>17</v>
      </c>
      <c r="D6" s="2">
        <v>31000</v>
      </c>
      <c r="E6" s="2">
        <v>5000</v>
      </c>
      <c r="G6" s="2" t="s">
        <v>23</v>
      </c>
      <c r="H6" s="2">
        <f>MIN(D4:D23)</f>
        <v>23000</v>
      </c>
      <c r="N6" s="16" t="s">
        <v>17</v>
      </c>
    </row>
    <row r="7" spans="1:14" x14ac:dyDescent="0.3">
      <c r="A7" s="1">
        <v>46026</v>
      </c>
      <c r="B7" s="2" t="s">
        <v>8</v>
      </c>
      <c r="C7" s="2" t="s">
        <v>18</v>
      </c>
      <c r="D7" s="2">
        <v>42000</v>
      </c>
      <c r="E7" s="2">
        <v>6000</v>
      </c>
      <c r="G7" s="2" t="s">
        <v>24</v>
      </c>
      <c r="H7" s="2">
        <f>MAX(D4:D23)</f>
        <v>62000</v>
      </c>
      <c r="J7" s="11" t="s">
        <v>52</v>
      </c>
      <c r="K7" s="11"/>
      <c r="N7" s="17" t="s">
        <v>31</v>
      </c>
    </row>
    <row r="8" spans="1:14" x14ac:dyDescent="0.3">
      <c r="A8" s="1">
        <v>46027</v>
      </c>
      <c r="B8" s="2" t="s">
        <v>9</v>
      </c>
      <c r="C8" s="2" t="s">
        <v>15</v>
      </c>
      <c r="D8" s="2">
        <v>25000</v>
      </c>
      <c r="E8" s="2">
        <v>3000</v>
      </c>
      <c r="G8" s="7" t="s">
        <v>35</v>
      </c>
      <c r="H8" s="8">
        <f>COUNT(D4:D23)</f>
        <v>20</v>
      </c>
      <c r="I8" s="3"/>
      <c r="J8" s="8" t="s">
        <v>53</v>
      </c>
      <c r="K8" s="8">
        <f>VLOOKUP("Tablet",B4:E23,4,FALSE)</f>
        <v>5000</v>
      </c>
      <c r="N8" s="17" t="s">
        <v>11</v>
      </c>
    </row>
    <row r="9" spans="1:14" x14ac:dyDescent="0.3">
      <c r="A9" s="1">
        <v>46028</v>
      </c>
      <c r="B9" s="2" t="s">
        <v>10</v>
      </c>
      <c r="C9" s="2" t="s">
        <v>16</v>
      </c>
      <c r="D9" s="2">
        <v>37000</v>
      </c>
      <c r="E9" s="2">
        <v>4000</v>
      </c>
      <c r="G9" s="4"/>
      <c r="J9" s="2" t="s">
        <v>54</v>
      </c>
      <c r="K9" s="2">
        <f>HLOOKUP("Profit",A3:E23,5,FALSE)</f>
        <v>6000</v>
      </c>
      <c r="N9" s="17" t="s">
        <v>28</v>
      </c>
    </row>
    <row r="10" spans="1:14" x14ac:dyDescent="0.3">
      <c r="A10" s="1">
        <v>46029</v>
      </c>
      <c r="B10" s="2" t="s">
        <v>11</v>
      </c>
      <c r="C10" s="2" t="s">
        <v>17</v>
      </c>
      <c r="D10" s="2">
        <v>33000</v>
      </c>
      <c r="E10" s="2">
        <v>3500</v>
      </c>
      <c r="G10" s="14" t="s">
        <v>36</v>
      </c>
      <c r="H10" s="14"/>
      <c r="J10" s="2" t="s">
        <v>55</v>
      </c>
      <c r="K10" s="2">
        <f>_xlfn.XLOOKUP("Laptop",B4:B23,D4:D23)</f>
        <v>54000</v>
      </c>
      <c r="N10" s="17" t="s">
        <v>14</v>
      </c>
    </row>
    <row r="11" spans="1:14" x14ac:dyDescent="0.3">
      <c r="A11" s="1">
        <v>46030</v>
      </c>
      <c r="B11" s="2" t="s">
        <v>12</v>
      </c>
      <c r="C11" s="2" t="s">
        <v>18</v>
      </c>
      <c r="D11" s="2">
        <v>27000</v>
      </c>
      <c r="E11" s="2">
        <v>2500</v>
      </c>
      <c r="G11" s="1" t="s">
        <v>37</v>
      </c>
      <c r="H11" s="2" t="str">
        <f>IF(E4&gt;5000,"High Profit","Low Profit")</f>
        <v>High Profit</v>
      </c>
      <c r="N11" s="17" t="s">
        <v>7</v>
      </c>
    </row>
    <row r="12" spans="1:14" x14ac:dyDescent="0.3">
      <c r="A12" s="1">
        <v>46031</v>
      </c>
      <c r="B12" s="2" t="s">
        <v>13</v>
      </c>
      <c r="C12" s="2" t="s">
        <v>15</v>
      </c>
      <c r="D12" s="2">
        <v>48000</v>
      </c>
      <c r="E12" s="2">
        <v>6500</v>
      </c>
      <c r="G12" s="1" t="s">
        <v>38</v>
      </c>
      <c r="H12" s="2" t="str">
        <f>IF(AND(D4&gt;30000,E4&gt;5000),"Good","Average")</f>
        <v>Good</v>
      </c>
      <c r="J12" s="11" t="s">
        <v>56</v>
      </c>
      <c r="K12" s="11"/>
      <c r="N12" s="16" t="s">
        <v>15</v>
      </c>
    </row>
    <row r="13" spans="1:14" x14ac:dyDescent="0.3">
      <c r="A13" s="1">
        <v>46032</v>
      </c>
      <c r="B13" s="2" t="s">
        <v>14</v>
      </c>
      <c r="C13" s="2" t="s">
        <v>17</v>
      </c>
      <c r="D13" s="2">
        <v>30000</v>
      </c>
      <c r="E13" s="2">
        <v>3200</v>
      </c>
      <c r="G13" s="1" t="s">
        <v>39</v>
      </c>
      <c r="H13" s="2" t="str">
        <f>IF(OR(D4&gt;40000,E4&gt;6000),"Top Sale","Normal")</f>
        <v>Top Sale</v>
      </c>
      <c r="J13" s="2" t="s">
        <v>57</v>
      </c>
      <c r="K13" s="2">
        <f>AVERAGE(E4:E23)</f>
        <v>5210</v>
      </c>
      <c r="N13" s="17" t="s">
        <v>9</v>
      </c>
    </row>
    <row r="14" spans="1:14" x14ac:dyDescent="0.3">
      <c r="A14" s="1">
        <v>46033</v>
      </c>
      <c r="B14" s="2" t="s">
        <v>25</v>
      </c>
      <c r="C14" s="2" t="s">
        <v>16</v>
      </c>
      <c r="D14" s="6">
        <v>28000</v>
      </c>
      <c r="E14" s="6">
        <v>3100</v>
      </c>
      <c r="G14" s="4"/>
      <c r="J14" s="2" t="s">
        <v>58</v>
      </c>
      <c r="K14" s="2">
        <f>MEDIAN(E4:E23)</f>
        <v>5100</v>
      </c>
      <c r="N14" s="17" t="s">
        <v>13</v>
      </c>
    </row>
    <row r="15" spans="1:14" x14ac:dyDescent="0.3">
      <c r="A15" s="1">
        <v>46034</v>
      </c>
      <c r="B15" s="2" t="s">
        <v>26</v>
      </c>
      <c r="C15" s="2" t="s">
        <v>18</v>
      </c>
      <c r="D15" s="6">
        <v>26000</v>
      </c>
      <c r="E15" s="6">
        <v>2900</v>
      </c>
      <c r="G15" s="14" t="s">
        <v>40</v>
      </c>
      <c r="H15" s="14"/>
      <c r="J15" s="2" t="s">
        <v>59</v>
      </c>
      <c r="K15" s="2" t="e">
        <f>MODE(E4:E23)</f>
        <v>#N/A</v>
      </c>
      <c r="N15" s="17" t="s">
        <v>5</v>
      </c>
    </row>
    <row r="16" spans="1:14" x14ac:dyDescent="0.3">
      <c r="A16" s="1">
        <v>46035</v>
      </c>
      <c r="B16" s="2" t="s">
        <v>27</v>
      </c>
      <c r="C16" s="2" t="s">
        <v>15</v>
      </c>
      <c r="D16" s="6">
        <v>35000</v>
      </c>
      <c r="E16" s="6">
        <v>4300</v>
      </c>
      <c r="G16" s="1" t="s">
        <v>41</v>
      </c>
      <c r="H16" s="2" t="str">
        <f>LEFT(B4,3)</f>
        <v>Pho</v>
      </c>
      <c r="J16" s="2" t="s">
        <v>60</v>
      </c>
      <c r="K16" s="2">
        <f>STDEV(E4:E23)</f>
        <v>2099.598959199991</v>
      </c>
      <c r="N16" s="17" t="s">
        <v>32</v>
      </c>
    </row>
    <row r="17" spans="1:14" x14ac:dyDescent="0.3">
      <c r="A17" s="1">
        <v>46036</v>
      </c>
      <c r="B17" s="2" t="s">
        <v>28</v>
      </c>
      <c r="C17" s="2" t="s">
        <v>17</v>
      </c>
      <c r="D17" s="6">
        <v>56000</v>
      </c>
      <c r="E17" s="6">
        <v>7700</v>
      </c>
      <c r="G17" s="1" t="s">
        <v>42</v>
      </c>
      <c r="H17" s="2" t="str">
        <f>RIGHT(B4,3)</f>
        <v>one</v>
      </c>
      <c r="J17" s="2" t="s">
        <v>61</v>
      </c>
      <c r="K17" s="2">
        <f>CORREL(D4:D23,E4:E23)</f>
        <v>0.97528861302321079</v>
      </c>
      <c r="N17" s="17" t="s">
        <v>27</v>
      </c>
    </row>
    <row r="18" spans="1:14" x14ac:dyDescent="0.3">
      <c r="A18" s="1">
        <v>46037</v>
      </c>
      <c r="B18" s="2" t="s">
        <v>29</v>
      </c>
      <c r="C18" s="2" t="s">
        <v>18</v>
      </c>
      <c r="D18" s="6">
        <v>23000</v>
      </c>
      <c r="E18" s="6">
        <v>2800</v>
      </c>
      <c r="G18" s="1" t="s">
        <v>43</v>
      </c>
      <c r="H18" s="2" t="str">
        <f>MID(B4,2,4)</f>
        <v>hone</v>
      </c>
      <c r="N18" s="16" t="s">
        <v>16</v>
      </c>
    </row>
    <row r="19" spans="1:14" x14ac:dyDescent="0.3">
      <c r="A19" s="1">
        <v>46038</v>
      </c>
      <c r="B19" s="2" t="s">
        <v>30</v>
      </c>
      <c r="C19" s="2" t="s">
        <v>16</v>
      </c>
      <c r="D19" s="6">
        <v>47000</v>
      </c>
      <c r="E19" s="6">
        <v>6900</v>
      </c>
      <c r="G19" s="1" t="s">
        <v>44</v>
      </c>
      <c r="H19" s="2" t="str">
        <f>_xlfn.CONCAT(B4,"-",C4)</f>
        <v>Phone-North</v>
      </c>
      <c r="N19" s="17" t="s">
        <v>25</v>
      </c>
    </row>
    <row r="20" spans="1:14" x14ac:dyDescent="0.3">
      <c r="A20" s="1">
        <v>46039</v>
      </c>
      <c r="B20" s="2" t="s">
        <v>31</v>
      </c>
      <c r="C20" s="2" t="s">
        <v>17</v>
      </c>
      <c r="D20" s="6">
        <v>52000</v>
      </c>
      <c r="E20" s="6">
        <v>7400</v>
      </c>
      <c r="N20" s="17" t="s">
        <v>6</v>
      </c>
    </row>
    <row r="21" spans="1:14" x14ac:dyDescent="0.3">
      <c r="A21" s="1">
        <v>46040</v>
      </c>
      <c r="B21" s="2" t="s">
        <v>32</v>
      </c>
      <c r="C21" s="2" t="s">
        <v>15</v>
      </c>
      <c r="D21" s="6">
        <v>60000</v>
      </c>
      <c r="E21" s="6">
        <v>8800</v>
      </c>
      <c r="G21" s="14" t="s">
        <v>45</v>
      </c>
      <c r="H21" s="14"/>
      <c r="N21" s="17" t="s">
        <v>10</v>
      </c>
    </row>
    <row r="22" spans="1:14" x14ac:dyDescent="0.3">
      <c r="A22" s="1">
        <v>46041</v>
      </c>
      <c r="B22" s="2" t="s">
        <v>33</v>
      </c>
      <c r="C22" s="2" t="s">
        <v>16</v>
      </c>
      <c r="D22" s="6">
        <v>41000</v>
      </c>
      <c r="E22" s="6">
        <v>5400</v>
      </c>
      <c r="G22" s="1" t="s">
        <v>46</v>
      </c>
      <c r="H22" s="1">
        <f ca="1">TODAY()</f>
        <v>46069</v>
      </c>
      <c r="N22" s="17" t="s">
        <v>30</v>
      </c>
    </row>
    <row r="23" spans="1:14" x14ac:dyDescent="0.3">
      <c r="A23" s="1">
        <v>46042</v>
      </c>
      <c r="B23" s="2" t="s">
        <v>34</v>
      </c>
      <c r="C23" s="2" t="s">
        <v>18</v>
      </c>
      <c r="D23" s="6">
        <v>39000</v>
      </c>
      <c r="E23" s="6">
        <v>5200</v>
      </c>
      <c r="G23" s="1" t="s">
        <v>47</v>
      </c>
      <c r="H23" s="9">
        <f ca="1">NOW()</f>
        <v>46069.965867592589</v>
      </c>
      <c r="N23" s="17" t="s">
        <v>33</v>
      </c>
    </row>
    <row r="24" spans="1:14" x14ac:dyDescent="0.3">
      <c r="G24" s="1" t="s">
        <v>48</v>
      </c>
      <c r="H24" s="2">
        <f ca="1">DATEDIF(A4,TODAY(),"d")</f>
        <v>46</v>
      </c>
      <c r="N24" s="16" t="s">
        <v>18</v>
      </c>
    </row>
    <row r="25" spans="1:14" x14ac:dyDescent="0.3">
      <c r="N25" s="17" t="s">
        <v>8</v>
      </c>
    </row>
    <row r="26" spans="1:14" x14ac:dyDescent="0.3">
      <c r="N26" s="17" t="s">
        <v>34</v>
      </c>
    </row>
    <row r="27" spans="1:14" x14ac:dyDescent="0.3">
      <c r="N27" s="17" t="s">
        <v>29</v>
      </c>
    </row>
    <row r="28" spans="1:14" x14ac:dyDescent="0.3">
      <c r="N28" s="17" t="s">
        <v>26</v>
      </c>
    </row>
    <row r="29" spans="1:14" x14ac:dyDescent="0.3">
      <c r="N29" s="17" t="s">
        <v>12</v>
      </c>
    </row>
    <row r="30" spans="1:14" x14ac:dyDescent="0.3">
      <c r="N30" s="16" t="s">
        <v>63</v>
      </c>
    </row>
  </sheetData>
  <mergeCells count="8">
    <mergeCell ref="G15:H15"/>
    <mergeCell ref="G21:H21"/>
    <mergeCell ref="J3:K3"/>
    <mergeCell ref="J7:K7"/>
    <mergeCell ref="J12:K12"/>
    <mergeCell ref="A1:E1"/>
    <mergeCell ref="G3:H3"/>
    <mergeCell ref="G10:H10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2026-02-15T08:02:23Z</cp:lastPrinted>
  <dcterms:created xsi:type="dcterms:W3CDTF">2026-02-15T07:31:56Z</dcterms:created>
  <dcterms:modified xsi:type="dcterms:W3CDTF">2026-02-16T17:41:44Z</dcterms:modified>
</cp:coreProperties>
</file>