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BFE519A9-F218-4989-AFBC-A0B002273A6C}" xr6:coauthVersionLast="47" xr6:coauthVersionMax="47" xr10:uidLastSave="{00000000-0000-0000-0000-000000000000}"/>
  <bookViews>
    <workbookView xWindow="-108" yWindow="-108" windowWidth="23256" windowHeight="12456" xr2:uid="{0EAA6CE8-BC2A-4154-8C0F-7A55CD7F4E21}"/>
  </bookViews>
  <sheets>
    <sheet name="HR" sheetId="1" r:id="rId1"/>
  </sheets>
  <calcPr calcId="191029"/>
  <pivotCaches>
    <pivotCache cacheId="1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M11" i="1"/>
  <c r="M10" i="1"/>
  <c r="M4" i="1"/>
  <c r="M3" i="1"/>
  <c r="J23" i="1"/>
  <c r="J22" i="1"/>
  <c r="J21" i="1"/>
  <c r="J18" i="1"/>
  <c r="J17" i="1"/>
  <c r="J16" i="1"/>
  <c r="J15" i="1"/>
  <c r="J12" i="1"/>
  <c r="J11" i="1"/>
  <c r="J10" i="1"/>
  <c r="J6" i="1"/>
  <c r="J5" i="1"/>
  <c r="J4" i="1"/>
  <c r="J3" i="1"/>
</calcChain>
</file>

<file path=xl/sharedStrings.xml><?xml version="1.0" encoding="utf-8"?>
<sst xmlns="http://schemas.openxmlformats.org/spreadsheetml/2006/main" count="90" uniqueCount="57">
  <si>
    <t>HR SHEET DATA</t>
  </si>
  <si>
    <t>Employee ID</t>
  </si>
  <si>
    <t>Department</t>
  </si>
  <si>
    <t xml:space="preserve"> Experience(years)</t>
  </si>
  <si>
    <t>Salary</t>
  </si>
  <si>
    <t>Bonus</t>
  </si>
  <si>
    <t>Total Pay</t>
  </si>
  <si>
    <t>Attrition(Yes/No)</t>
  </si>
  <si>
    <t>HR001</t>
  </si>
  <si>
    <t>HR002</t>
  </si>
  <si>
    <t>HR003</t>
  </si>
  <si>
    <t>HR004</t>
  </si>
  <si>
    <t>HR005</t>
  </si>
  <si>
    <t>HR006</t>
  </si>
  <si>
    <t>HR007</t>
  </si>
  <si>
    <t>HR008</t>
  </si>
  <si>
    <t>HR009</t>
  </si>
  <si>
    <t>HR010</t>
  </si>
  <si>
    <t>HR011</t>
  </si>
  <si>
    <t>HR012</t>
  </si>
  <si>
    <t>HR013</t>
  </si>
  <si>
    <t>HR014</t>
  </si>
  <si>
    <t>HR015</t>
  </si>
  <si>
    <t>HR016</t>
  </si>
  <si>
    <t>HR017</t>
  </si>
  <si>
    <t>HR018</t>
  </si>
  <si>
    <t>HR</t>
  </si>
  <si>
    <t>No</t>
  </si>
  <si>
    <t>Yes</t>
  </si>
  <si>
    <t>Mathematical Functions</t>
  </si>
  <si>
    <t>SUM</t>
  </si>
  <si>
    <t>AVERAGE</t>
  </si>
  <si>
    <t>MIN</t>
  </si>
  <si>
    <t>MAX</t>
  </si>
  <si>
    <t>COUNT</t>
  </si>
  <si>
    <t>Logical Functions</t>
  </si>
  <si>
    <t xml:space="preserve">IF </t>
  </si>
  <si>
    <t>AND</t>
  </si>
  <si>
    <t>OR</t>
  </si>
  <si>
    <t>Text Functions</t>
  </si>
  <si>
    <t>LEFT</t>
  </si>
  <si>
    <t>RIGHT</t>
  </si>
  <si>
    <t>MID</t>
  </si>
  <si>
    <t>CONCAT</t>
  </si>
  <si>
    <t>Date Functions</t>
  </si>
  <si>
    <t>TODAY</t>
  </si>
  <si>
    <t>NOW</t>
  </si>
  <si>
    <t>DATEDIF</t>
  </si>
  <si>
    <t>Sum of  Experience(years)</t>
  </si>
  <si>
    <t>Sum of Salary</t>
  </si>
  <si>
    <t>Financial Functions</t>
  </si>
  <si>
    <t>PMT</t>
  </si>
  <si>
    <t>NPV</t>
  </si>
  <si>
    <t>Lookup Functions</t>
  </si>
  <si>
    <t>vlookup</t>
  </si>
  <si>
    <t>hlookup</t>
  </si>
  <si>
    <t>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</si>
</sst>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3" fontId="0" fillId="0" borderId="0" xfId="0" applyNumberFormat="1"/>
    <xf numFmtId="0" fontId="1" fillId="2" borderId="1" xfId="0" applyFont="1" applyFill="1" applyBorder="1"/>
    <xf numFmtId="0" fontId="0" fillId="0" borderId="1" xfId="0" applyBorder="1"/>
    <xf numFmtId="3" fontId="0" fillId="0" borderId="1" xfId="0" applyNumberFormat="1" applyBorder="1"/>
    <xf numFmtId="0" fontId="0" fillId="0" borderId="0" xfId="0" applyNumberFormat="1"/>
    <xf numFmtId="0" fontId="1" fillId="2" borderId="1" xfId="0" applyFont="1" applyFill="1" applyBorder="1" applyAlignment="1">
      <alignment horizontal="center"/>
    </xf>
    <xf numFmtId="14" fontId="0" fillId="0" borderId="1" xfId="0" applyNumberFormat="1" applyBorder="1"/>
    <xf numFmtId="22" fontId="0" fillId="0" borderId="1" xfId="0" applyNumberFormat="1" applyBorder="1"/>
    <xf numFmtId="8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 HR.xlsx]HR!PivotTable1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HR!$R$4</c:f>
              <c:strCache>
                <c:ptCount val="1"/>
                <c:pt idx="0">
                  <c:v>Sum of  Experience(years)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HR!$R$5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HR!$R$5</c:f>
              <c:numCache>
                <c:formatCode>General</c:formatCode>
                <c:ptCount val="1"/>
                <c:pt idx="0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5E-4E25-B254-E65FDE8996A3}"/>
            </c:ext>
          </c:extLst>
        </c:ser>
        <c:ser>
          <c:idx val="1"/>
          <c:order val="1"/>
          <c:tx>
            <c:strRef>
              <c:f>HR!$S$4</c:f>
              <c:strCache>
                <c:ptCount val="1"/>
                <c:pt idx="0">
                  <c:v>Sum of Salary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HR!$R$5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HR!$S$5</c:f>
              <c:numCache>
                <c:formatCode>#,##0</c:formatCode>
                <c:ptCount val="1"/>
                <c:pt idx="0">
                  <c:v>9538000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5E-4E25-B254-E65FDE899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0076127"/>
        <c:axId val="2090075647"/>
      </c:barChart>
      <c:catAx>
        <c:axId val="209007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075647"/>
        <c:crosses val="autoZero"/>
        <c:auto val="1"/>
        <c:lblAlgn val="ctr"/>
        <c:lblOffset val="100"/>
        <c:noMultiLvlLbl val="0"/>
      </c:catAx>
      <c:valAx>
        <c:axId val="209007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07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213360</xdr:colOff>
      <xdr:row>5</xdr:row>
      <xdr:rowOff>171450</xdr:rowOff>
    </xdr:from>
    <xdr:to>
      <xdr:col>19</xdr:col>
      <xdr:colOff>563880</xdr:colOff>
      <xdr:row>20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F41192-7983-390A-B717-2CC1640E5B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76.814001041668" createdVersion="8" refreshedVersion="8" minRefreshableVersion="3" recordCount="18" xr:uid="{2EF62BA0-7FD2-49F9-B3A3-DA6931AFA66A}">
  <cacheSource type="worksheet">
    <worksheetSource ref="A2:G20" sheet="HR"/>
  </cacheSource>
  <cacheFields count="7">
    <cacheField name="Employee ID" numFmtId="0">
      <sharedItems/>
    </cacheField>
    <cacheField name="Department" numFmtId="0">
      <sharedItems/>
    </cacheField>
    <cacheField name=" Experience(years)" numFmtId="0">
      <sharedItems containsSemiMixedTypes="0" containsString="0" containsNumber="1" containsInteger="1" minValue="1" maxValue="10"/>
    </cacheField>
    <cacheField name="Salary" numFmtId="3">
      <sharedItems containsSemiMixedTypes="0" containsString="0" containsNumber="1" containsInteger="1" minValue="260000" maxValue="980000"/>
    </cacheField>
    <cacheField name="Bonus" numFmtId="3">
      <sharedItems containsSemiMixedTypes="0" containsString="0" containsNumber="1" containsInteger="1" minValue="15000" maxValue="80000"/>
    </cacheField>
    <cacheField name="Total Pay" numFmtId="3">
      <sharedItems containsSemiMixedTypes="0" containsString="0" containsNumber="1" containsInteger="1" minValue="275000" maxValue="1060000"/>
    </cacheField>
    <cacheField name="Attrition(Yes/No)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s v="HR001"/>
    <s v="HR"/>
    <n v="2"/>
    <n v="320000"/>
    <n v="20000"/>
    <n v="340000"/>
    <s v="No"/>
  </r>
  <r>
    <s v="HR002"/>
    <s v="HR"/>
    <n v="3"/>
    <n v="338000"/>
    <n v="25000"/>
    <n v="405000"/>
    <s v="No"/>
  </r>
  <r>
    <s v="HR003"/>
    <s v="HR"/>
    <n v="1"/>
    <n v="260000"/>
    <n v="15000"/>
    <n v="275000"/>
    <s v="Yes"/>
  </r>
  <r>
    <s v="HR004"/>
    <s v="HR"/>
    <n v="5"/>
    <n v="510000"/>
    <n v="40000"/>
    <n v="550000"/>
    <s v="No"/>
  </r>
  <r>
    <s v="HR005"/>
    <s v="HR"/>
    <n v="4"/>
    <n v="460000"/>
    <n v="30000"/>
    <n v="490000"/>
    <s v="No"/>
  </r>
  <r>
    <s v="HR006"/>
    <s v="HR"/>
    <n v="6"/>
    <n v="600000"/>
    <n v="50000"/>
    <n v="650000"/>
    <s v="No"/>
  </r>
  <r>
    <s v="HR007"/>
    <s v="HR"/>
    <n v="2"/>
    <n v="300000"/>
    <n v="20000"/>
    <n v="320000"/>
    <s v="Yes"/>
  </r>
  <r>
    <s v="HR008"/>
    <s v="HR"/>
    <n v="7"/>
    <n v="720000"/>
    <n v="60000"/>
    <n v="780000"/>
    <s v="No"/>
  </r>
  <r>
    <s v="HR009"/>
    <s v="HR"/>
    <n v="8"/>
    <n v="780000"/>
    <n v="65000"/>
    <n v="845000"/>
    <s v="No"/>
  </r>
  <r>
    <s v="HR010"/>
    <s v="HR"/>
    <n v="3"/>
    <n v="370000"/>
    <n v="25000"/>
    <n v="395000"/>
    <s v="Yes"/>
  </r>
  <r>
    <s v="HR011"/>
    <s v="HR"/>
    <n v="9"/>
    <n v="850000"/>
    <n v="70000"/>
    <n v="920000"/>
    <s v="No"/>
  </r>
  <r>
    <s v="HR012"/>
    <s v="HR"/>
    <n v="10"/>
    <n v="980000"/>
    <n v="80000"/>
    <n v="1060000"/>
    <s v="No"/>
  </r>
  <r>
    <s v="HR013"/>
    <s v="HR"/>
    <n v="4"/>
    <n v="440000"/>
    <n v="30000"/>
    <n v="470000"/>
    <s v="Yes"/>
  </r>
  <r>
    <s v="HR014"/>
    <s v="HR"/>
    <n v="6"/>
    <n v="620000"/>
    <n v="50000"/>
    <n v="670000"/>
    <s v="No"/>
  </r>
  <r>
    <s v="HR015"/>
    <s v="HR"/>
    <n v="5"/>
    <n v="570000"/>
    <n v="45000"/>
    <n v="615000"/>
    <s v="No"/>
  </r>
  <r>
    <s v="HR016"/>
    <s v="HR"/>
    <n v="3"/>
    <n v="380000"/>
    <n v="25000"/>
    <n v="405000"/>
    <s v="Yes"/>
  </r>
  <r>
    <s v="HR017"/>
    <s v="HR"/>
    <n v="2"/>
    <n v="300000"/>
    <n v="20000"/>
    <n v="320000"/>
    <s v="Yes"/>
  </r>
  <r>
    <s v="HR018"/>
    <s v="HR"/>
    <n v="7"/>
    <n v="740000"/>
    <n v="60000"/>
    <n v="800000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1AA053-34A1-481F-87A1-1197D5941BD6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R4:S5" firstHeaderRow="0" firstDataRow="1" firstDataCol="0"/>
  <pivotFields count="7">
    <pivotField showAll="0"/>
    <pivotField showAll="0"/>
    <pivotField dataField="1" showAll="0"/>
    <pivotField dataField="1" numFmtId="3" showAll="0"/>
    <pivotField numFmtId="3" showAll="0"/>
    <pivotField numFmtId="3"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 Experience(years)" fld="2" baseField="0" baseItem="0"/>
    <dataField name="Sum of Salary" fld="3" baseField="0" baseItem="0" numFmtId="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E833E-5EC9-4AE9-A75E-5970DFB6156A}">
  <dimension ref="A1:S23"/>
  <sheetViews>
    <sheetView tabSelected="1" workbookViewId="0">
      <selection activeCell="N18" sqref="N18"/>
    </sheetView>
  </sheetViews>
  <sheetFormatPr defaultRowHeight="14.4" x14ac:dyDescent="0.3"/>
  <cols>
    <col min="2" max="2" width="10.88671875" customWidth="1"/>
    <col min="3" max="3" width="15.77734375" bestFit="1" customWidth="1"/>
    <col min="4" max="4" width="9.33203125" customWidth="1"/>
    <col min="6" max="6" width="9.109375" bestFit="1" customWidth="1"/>
    <col min="7" max="7" width="14.44140625" bestFit="1" customWidth="1"/>
    <col min="10" max="10" width="15.33203125" bestFit="1" customWidth="1"/>
    <col min="13" max="13" width="12" bestFit="1" customWidth="1"/>
    <col min="18" max="18" width="22.6640625" bestFit="1" customWidth="1"/>
    <col min="19" max="19" width="12.21875" bestFit="1" customWidth="1"/>
  </cols>
  <sheetData>
    <row r="1" spans="1:19" ht="28.8" x14ac:dyDescent="0.55000000000000004">
      <c r="A1" s="1" t="s">
        <v>0</v>
      </c>
      <c r="B1" s="1"/>
      <c r="C1" s="1"/>
      <c r="D1" s="1"/>
      <c r="E1" s="1"/>
      <c r="F1" s="1"/>
      <c r="G1" s="1"/>
    </row>
    <row r="2" spans="1:19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I2" s="7" t="s">
        <v>29</v>
      </c>
      <c r="J2" s="7"/>
      <c r="L2" s="7" t="s">
        <v>50</v>
      </c>
      <c r="M2" s="7"/>
    </row>
    <row r="3" spans="1:19" x14ac:dyDescent="0.3">
      <c r="A3" s="4" t="s">
        <v>8</v>
      </c>
      <c r="B3" s="4" t="s">
        <v>26</v>
      </c>
      <c r="C3" s="4">
        <v>2</v>
      </c>
      <c r="D3" s="5">
        <v>320000</v>
      </c>
      <c r="E3" s="5">
        <v>20000</v>
      </c>
      <c r="F3" s="5">
        <v>340000</v>
      </c>
      <c r="G3" s="4" t="s">
        <v>27</v>
      </c>
      <c r="I3" s="4" t="s">
        <v>30</v>
      </c>
      <c r="J3" s="5">
        <f>SUM(D3:D20)</f>
        <v>9538000</v>
      </c>
      <c r="L3" s="4" t="s">
        <v>51</v>
      </c>
      <c r="M3" s="10">
        <f>PMT(0.08/12,12,-500000)</f>
        <v>43494.214542710535</v>
      </c>
    </row>
    <row r="4" spans="1:19" x14ac:dyDescent="0.3">
      <c r="A4" s="4" t="s">
        <v>9</v>
      </c>
      <c r="B4" s="4" t="s">
        <v>26</v>
      </c>
      <c r="C4" s="4">
        <v>3</v>
      </c>
      <c r="D4" s="5">
        <v>338000</v>
      </c>
      <c r="E4" s="5">
        <v>25000</v>
      </c>
      <c r="F4" s="5">
        <v>405000</v>
      </c>
      <c r="G4" s="4" t="s">
        <v>27</v>
      </c>
      <c r="I4" s="4" t="s">
        <v>31</v>
      </c>
      <c r="J4" s="5">
        <f>AVERAGE(D3:D20)</f>
        <v>529888.88888888888</v>
      </c>
      <c r="L4" s="4" t="s">
        <v>52</v>
      </c>
      <c r="M4" s="10">
        <f>NPV(0.1,E3:E20)</f>
        <v>302586.42811320152</v>
      </c>
      <c r="R4" t="s">
        <v>48</v>
      </c>
      <c r="S4" t="s">
        <v>49</v>
      </c>
    </row>
    <row r="5" spans="1:19" x14ac:dyDescent="0.3">
      <c r="A5" s="4" t="s">
        <v>10</v>
      </c>
      <c r="B5" s="4" t="s">
        <v>26</v>
      </c>
      <c r="C5" s="4">
        <v>1</v>
      </c>
      <c r="D5" s="5">
        <v>260000</v>
      </c>
      <c r="E5" s="5">
        <v>15000</v>
      </c>
      <c r="F5" s="5">
        <v>275000</v>
      </c>
      <c r="G5" s="4" t="s">
        <v>28</v>
      </c>
      <c r="I5" s="4" t="s">
        <v>32</v>
      </c>
      <c r="J5" s="5">
        <f>MIN(D3:D20)</f>
        <v>260000</v>
      </c>
      <c r="R5" s="6">
        <v>87</v>
      </c>
      <c r="S5" s="2">
        <v>9538000</v>
      </c>
    </row>
    <row r="6" spans="1:19" x14ac:dyDescent="0.3">
      <c r="A6" s="4" t="s">
        <v>11</v>
      </c>
      <c r="B6" s="4" t="s">
        <v>26</v>
      </c>
      <c r="C6" s="4">
        <v>5</v>
      </c>
      <c r="D6" s="5">
        <v>510000</v>
      </c>
      <c r="E6" s="5">
        <v>40000</v>
      </c>
      <c r="F6" s="5">
        <v>550000</v>
      </c>
      <c r="G6" s="4" t="s">
        <v>27</v>
      </c>
      <c r="I6" s="4" t="s">
        <v>33</v>
      </c>
      <c r="J6" s="5">
        <f>MAX(D3:D20)</f>
        <v>980000</v>
      </c>
    </row>
    <row r="7" spans="1:19" x14ac:dyDescent="0.3">
      <c r="A7" s="4" t="s">
        <v>12</v>
      </c>
      <c r="B7" s="4" t="s">
        <v>26</v>
      </c>
      <c r="C7" s="4">
        <v>4</v>
      </c>
      <c r="D7" s="5">
        <v>460000</v>
      </c>
      <c r="E7" s="5">
        <v>30000</v>
      </c>
      <c r="F7" s="5">
        <v>490000</v>
      </c>
      <c r="G7" s="4" t="s">
        <v>27</v>
      </c>
      <c r="I7" s="4" t="s">
        <v>34</v>
      </c>
      <c r="J7" s="4">
        <v>18</v>
      </c>
    </row>
    <row r="8" spans="1:19" x14ac:dyDescent="0.3">
      <c r="A8" s="4" t="s">
        <v>13</v>
      </c>
      <c r="B8" s="4" t="s">
        <v>26</v>
      </c>
      <c r="C8" s="4">
        <v>6</v>
      </c>
      <c r="D8" s="5">
        <v>600000</v>
      </c>
      <c r="E8" s="5">
        <v>50000</v>
      </c>
      <c r="F8" s="5">
        <v>650000</v>
      </c>
      <c r="G8" s="4" t="s">
        <v>27</v>
      </c>
    </row>
    <row r="9" spans="1:19" x14ac:dyDescent="0.3">
      <c r="A9" s="4" t="s">
        <v>14</v>
      </c>
      <c r="B9" s="4" t="s">
        <v>26</v>
      </c>
      <c r="C9" s="4">
        <v>2</v>
      </c>
      <c r="D9" s="5">
        <v>300000</v>
      </c>
      <c r="E9" s="5">
        <v>20000</v>
      </c>
      <c r="F9" s="5">
        <v>320000</v>
      </c>
      <c r="G9" s="4" t="s">
        <v>28</v>
      </c>
      <c r="I9" s="7" t="s">
        <v>35</v>
      </c>
      <c r="J9" s="7"/>
      <c r="L9" s="7" t="s">
        <v>53</v>
      </c>
      <c r="M9" s="7"/>
    </row>
    <row r="10" spans="1:19" x14ac:dyDescent="0.3">
      <c r="A10" s="4" t="s">
        <v>15</v>
      </c>
      <c r="B10" s="4" t="s">
        <v>26</v>
      </c>
      <c r="C10" s="4">
        <v>7</v>
      </c>
      <c r="D10" s="5">
        <v>720000</v>
      </c>
      <c r="E10" s="5">
        <v>60000</v>
      </c>
      <c r="F10" s="5">
        <v>780000</v>
      </c>
      <c r="G10" s="4" t="s">
        <v>27</v>
      </c>
      <c r="I10" s="4" t="s">
        <v>36</v>
      </c>
      <c r="J10" s="4" t="str">
        <f>IF(G3="Yes","Employee Left","Active")</f>
        <v>Active</v>
      </c>
      <c r="L10" s="4" t="s">
        <v>54</v>
      </c>
      <c r="M10" s="4">
        <f>VLOOKUP("HR010",A3:F20,4,FALSE)</f>
        <v>370000</v>
      </c>
    </row>
    <row r="11" spans="1:19" x14ac:dyDescent="0.3">
      <c r="A11" s="4" t="s">
        <v>16</v>
      </c>
      <c r="B11" s="4" t="s">
        <v>26</v>
      </c>
      <c r="C11" s="4">
        <v>8</v>
      </c>
      <c r="D11" s="5">
        <v>780000</v>
      </c>
      <c r="E11" s="5">
        <v>65000</v>
      </c>
      <c r="F11" s="5">
        <v>845000</v>
      </c>
      <c r="G11" s="4" t="s">
        <v>27</v>
      </c>
      <c r="I11" s="4" t="s">
        <v>37</v>
      </c>
      <c r="J11" s="4" t="b">
        <f>AND(D3&gt;400000,E3&gt;20000)</f>
        <v>0</v>
      </c>
      <c r="L11" s="4" t="s">
        <v>55</v>
      </c>
      <c r="M11" s="4">
        <f>HLOOKUP("Bonus",A2:F20,5,FALSE)</f>
        <v>40000</v>
      </c>
    </row>
    <row r="12" spans="1:19" x14ac:dyDescent="0.3">
      <c r="A12" s="4" t="s">
        <v>17</v>
      </c>
      <c r="B12" s="4" t="s">
        <v>26</v>
      </c>
      <c r="C12" s="4">
        <v>3</v>
      </c>
      <c r="D12" s="5">
        <v>370000</v>
      </c>
      <c r="E12" s="5">
        <v>25000</v>
      </c>
      <c r="F12" s="5">
        <v>395000</v>
      </c>
      <c r="G12" s="4" t="s">
        <v>28</v>
      </c>
      <c r="I12" s="4" t="s">
        <v>38</v>
      </c>
      <c r="J12" s="4" t="b">
        <f>OR(D3&gt;70000,G3="Yes")</f>
        <v>1</v>
      </c>
      <c r="L12" s="4" t="s">
        <v>56</v>
      </c>
      <c r="M12" s="4">
        <f>_xlfn.XLOOKUP("HR012",A3:A20,D3:D20)</f>
        <v>980000</v>
      </c>
    </row>
    <row r="13" spans="1:19" x14ac:dyDescent="0.3">
      <c r="A13" s="4" t="s">
        <v>18</v>
      </c>
      <c r="B13" s="4" t="s">
        <v>26</v>
      </c>
      <c r="C13" s="4">
        <v>9</v>
      </c>
      <c r="D13" s="5">
        <v>850000</v>
      </c>
      <c r="E13" s="5">
        <v>70000</v>
      </c>
      <c r="F13" s="5">
        <v>920000</v>
      </c>
      <c r="G13" s="4" t="s">
        <v>27</v>
      </c>
    </row>
    <row r="14" spans="1:19" x14ac:dyDescent="0.3">
      <c r="A14" s="4" t="s">
        <v>19</v>
      </c>
      <c r="B14" s="4" t="s">
        <v>26</v>
      </c>
      <c r="C14" s="4">
        <v>10</v>
      </c>
      <c r="D14" s="5">
        <v>980000</v>
      </c>
      <c r="E14" s="5">
        <v>80000</v>
      </c>
      <c r="F14" s="5">
        <v>1060000</v>
      </c>
      <c r="G14" s="4" t="s">
        <v>27</v>
      </c>
      <c r="I14" s="7" t="s">
        <v>39</v>
      </c>
      <c r="J14" s="7"/>
    </row>
    <row r="15" spans="1:19" x14ac:dyDescent="0.3">
      <c r="A15" s="4" t="s">
        <v>20</v>
      </c>
      <c r="B15" s="4" t="s">
        <v>26</v>
      </c>
      <c r="C15" s="4">
        <v>4</v>
      </c>
      <c r="D15" s="5">
        <v>440000</v>
      </c>
      <c r="E15" s="5">
        <v>30000</v>
      </c>
      <c r="F15" s="5">
        <v>470000</v>
      </c>
      <c r="G15" s="4" t="s">
        <v>28</v>
      </c>
      <c r="I15" s="4" t="s">
        <v>40</v>
      </c>
      <c r="J15" s="4" t="str">
        <f>LEFT(A3,2)</f>
        <v>HR</v>
      </c>
    </row>
    <row r="16" spans="1:19" x14ac:dyDescent="0.3">
      <c r="A16" s="4" t="s">
        <v>21</v>
      </c>
      <c r="B16" s="4" t="s">
        <v>26</v>
      </c>
      <c r="C16" s="4">
        <v>6</v>
      </c>
      <c r="D16" s="5">
        <v>620000</v>
      </c>
      <c r="E16" s="5">
        <v>50000</v>
      </c>
      <c r="F16" s="5">
        <v>670000</v>
      </c>
      <c r="G16" s="4" t="s">
        <v>27</v>
      </c>
      <c r="I16" s="4" t="s">
        <v>41</v>
      </c>
      <c r="J16" s="4" t="str">
        <f>RIGHT(A3,3)</f>
        <v>001</v>
      </c>
    </row>
    <row r="17" spans="1:10" x14ac:dyDescent="0.3">
      <c r="A17" s="4" t="s">
        <v>22</v>
      </c>
      <c r="B17" s="4" t="s">
        <v>26</v>
      </c>
      <c r="C17" s="4">
        <v>5</v>
      </c>
      <c r="D17" s="5">
        <v>570000</v>
      </c>
      <c r="E17" s="5">
        <v>45000</v>
      </c>
      <c r="F17" s="5">
        <v>615000</v>
      </c>
      <c r="G17" s="4" t="s">
        <v>27</v>
      </c>
      <c r="I17" s="4" t="s">
        <v>42</v>
      </c>
      <c r="J17" s="4" t="str">
        <f>MID(A3,3,2)</f>
        <v>00</v>
      </c>
    </row>
    <row r="18" spans="1:10" x14ac:dyDescent="0.3">
      <c r="A18" s="4" t="s">
        <v>23</v>
      </c>
      <c r="B18" s="4" t="s">
        <v>26</v>
      </c>
      <c r="C18" s="4">
        <v>3</v>
      </c>
      <c r="D18" s="5">
        <v>380000</v>
      </c>
      <c r="E18" s="5">
        <v>25000</v>
      </c>
      <c r="F18" s="5">
        <v>405000</v>
      </c>
      <c r="G18" s="4" t="s">
        <v>28</v>
      </c>
      <c r="I18" s="4" t="s">
        <v>43</v>
      </c>
      <c r="J18" s="4" t="str">
        <f>_xlfn.CONCAT(A3,"-",B3)</f>
        <v>HR001-HR</v>
      </c>
    </row>
    <row r="19" spans="1:10" x14ac:dyDescent="0.3">
      <c r="A19" s="4" t="s">
        <v>24</v>
      </c>
      <c r="B19" s="4" t="s">
        <v>26</v>
      </c>
      <c r="C19" s="4">
        <v>2</v>
      </c>
      <c r="D19" s="5">
        <v>300000</v>
      </c>
      <c r="E19" s="5">
        <v>20000</v>
      </c>
      <c r="F19" s="5">
        <v>320000</v>
      </c>
      <c r="G19" s="4" t="s">
        <v>28</v>
      </c>
    </row>
    <row r="20" spans="1:10" x14ac:dyDescent="0.3">
      <c r="A20" s="4" t="s">
        <v>25</v>
      </c>
      <c r="B20" s="4" t="s">
        <v>26</v>
      </c>
      <c r="C20" s="4">
        <v>7</v>
      </c>
      <c r="D20" s="5">
        <v>740000</v>
      </c>
      <c r="E20" s="5">
        <v>60000</v>
      </c>
      <c r="F20" s="5">
        <v>800000</v>
      </c>
      <c r="G20" s="4" t="s">
        <v>27</v>
      </c>
      <c r="I20" s="7" t="s">
        <v>44</v>
      </c>
      <c r="J20" s="7"/>
    </row>
    <row r="21" spans="1:10" x14ac:dyDescent="0.3">
      <c r="I21" s="4" t="s">
        <v>45</v>
      </c>
      <c r="J21" s="8">
        <f ca="1">TODAY()</f>
        <v>46076</v>
      </c>
    </row>
    <row r="22" spans="1:10" x14ac:dyDescent="0.3">
      <c r="I22" s="4" t="s">
        <v>46</v>
      </c>
      <c r="J22" s="9">
        <f ca="1">NOW()</f>
        <v>46076.819947569442</v>
      </c>
    </row>
    <row r="23" spans="1:10" x14ac:dyDescent="0.3">
      <c r="I23" s="4" t="s">
        <v>47</v>
      </c>
      <c r="J23" s="4">
        <f ca="1">DATEDIF("2018-01-01",TODAY(),"Y")</f>
        <v>8</v>
      </c>
    </row>
  </sheetData>
  <mergeCells count="7">
    <mergeCell ref="A1:G1"/>
    <mergeCell ref="I2:J2"/>
    <mergeCell ref="I9:J9"/>
    <mergeCell ref="I14:J14"/>
    <mergeCell ref="I20:J20"/>
    <mergeCell ref="L2:M2"/>
    <mergeCell ref="L9:M9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2026-02-23T13:28:21Z</dcterms:created>
  <dcterms:modified xsi:type="dcterms:W3CDTF">2026-02-23T14:10:43Z</dcterms:modified>
</cp:coreProperties>
</file>