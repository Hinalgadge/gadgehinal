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89F76911-5E65-4FC7-A0A6-CDB3051D6ECF}" xr6:coauthVersionLast="47" xr6:coauthVersionMax="47" xr10:uidLastSave="{00000000-0000-0000-0000-000000000000}"/>
  <bookViews>
    <workbookView xWindow="-108" yWindow="-108" windowWidth="23256" windowHeight="12456" xr2:uid="{84FE825B-B8A7-4A6E-A37F-4E34A7A25FE3}"/>
  </bookViews>
  <sheets>
    <sheet name="Finance" sheetId="1" r:id="rId1"/>
  </sheets>
  <calcPr calcId="19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M7" i="1"/>
  <c r="M6" i="1"/>
  <c r="J23" i="1"/>
  <c r="J22" i="1"/>
  <c r="J21" i="1"/>
  <c r="J18" i="1"/>
  <c r="J17" i="1"/>
  <c r="J16" i="1"/>
  <c r="J15" i="1"/>
  <c r="J12" i="1"/>
  <c r="J11" i="1"/>
  <c r="J10" i="1"/>
  <c r="J6" i="1"/>
  <c r="J5" i="1"/>
  <c r="J4" i="1"/>
  <c r="J3" i="1"/>
</calcChain>
</file>

<file path=xl/sharedStrings.xml><?xml version="1.0" encoding="utf-8"?>
<sst xmlns="http://schemas.openxmlformats.org/spreadsheetml/2006/main" count="54" uniqueCount="42">
  <si>
    <t>Month</t>
  </si>
  <si>
    <t>Department</t>
  </si>
  <si>
    <t>Revenue(Rs.)</t>
  </si>
  <si>
    <t>Expenses(Rs.)</t>
  </si>
  <si>
    <t>Profit(Rs.)</t>
  </si>
  <si>
    <t>Budget(Rs.)</t>
  </si>
  <si>
    <t>Actual(Rs.)</t>
  </si>
  <si>
    <t>IT</t>
  </si>
  <si>
    <t>HR</t>
  </si>
  <si>
    <t>Marketing</t>
  </si>
  <si>
    <t>Sales</t>
  </si>
  <si>
    <t>Finance</t>
  </si>
  <si>
    <t>Operations</t>
  </si>
  <si>
    <r>
      <t xml:space="preserve"> </t>
    </r>
    <r>
      <rPr>
        <b/>
        <sz val="22"/>
        <color theme="1"/>
        <rFont val="Aptos Narrow"/>
        <family val="2"/>
        <scheme val="minor"/>
      </rPr>
      <t>FINANCE SHEET DATA</t>
    </r>
  </si>
  <si>
    <t>Sum of Revenue(Rs.)</t>
  </si>
  <si>
    <t>Sum of Expenses(Rs.)</t>
  </si>
  <si>
    <t>Sum of Profit(Rs.)</t>
  </si>
  <si>
    <t>1. Mathematical Functions</t>
  </si>
  <si>
    <t>SUM</t>
  </si>
  <si>
    <t>AVERAGE</t>
  </si>
  <si>
    <t>MIN</t>
  </si>
  <si>
    <t>MAX</t>
  </si>
  <si>
    <t>COUNT</t>
  </si>
  <si>
    <t>2.Logical Functions</t>
  </si>
  <si>
    <t>IF</t>
  </si>
  <si>
    <t>AND</t>
  </si>
  <si>
    <t>OR</t>
  </si>
  <si>
    <t>3.Text Functions</t>
  </si>
  <si>
    <t>LEFT</t>
  </si>
  <si>
    <t>RIGHT</t>
  </si>
  <si>
    <t>MID</t>
  </si>
  <si>
    <t>CONCAT</t>
  </si>
  <si>
    <t>4. Date Functions</t>
  </si>
  <si>
    <t>TODAY</t>
  </si>
  <si>
    <t>NOW</t>
  </si>
  <si>
    <t>DATEDIF</t>
  </si>
  <si>
    <t>5. Financial Functions</t>
  </si>
  <si>
    <t>PMT</t>
  </si>
  <si>
    <t>NPV</t>
  </si>
  <si>
    <t>Lookup Functions</t>
  </si>
  <si>
    <t>VLOOKUP</t>
  </si>
  <si>
    <t>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</si>
</sst>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/>
    <xf numFmtId="0" fontId="0" fillId="0" borderId="0" xfId="0" applyBorder="1"/>
    <xf numFmtId="17" fontId="0" fillId="0" borderId="1" xfId="0" applyNumberFormat="1" applyBorder="1"/>
    <xf numFmtId="0" fontId="0" fillId="0" borderId="1" xfId="0" applyBorder="1"/>
    <xf numFmtId="3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" fillId="2" borderId="2" xfId="0" applyFont="1" applyFill="1" applyBorder="1" applyAlignment="1"/>
    <xf numFmtId="0" fontId="1" fillId="2" borderId="0" xfId="0" applyFont="1" applyFill="1" applyBorder="1" applyAlignment="1"/>
    <xf numFmtId="0" fontId="1" fillId="2" borderId="1" xfId="0" applyFont="1" applyFill="1" applyBorder="1" applyAlignment="1">
      <alignment horizontal="center"/>
    </xf>
    <xf numFmtId="8" fontId="0" fillId="0" borderId="1" xfId="0" applyNumberFormat="1" applyBorder="1"/>
    <xf numFmtId="3" fontId="1" fillId="2" borderId="1" xfId="0" applyNumberFormat="1" applyFont="1" applyFill="1" applyBorder="1" applyAlignment="1">
      <alignment horizontal="center"/>
    </xf>
    <xf numFmtId="14" fontId="0" fillId="0" borderId="1" xfId="0" applyNumberFormat="1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 F i.xlsx]Finance!PivotTable1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Finance!$S$3</c:f>
              <c:strCache>
                <c:ptCount val="1"/>
                <c:pt idx="0">
                  <c:v>Sum of Revenue(Rs.)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Finance!$S$4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Finance!$S$4</c:f>
              <c:numCache>
                <c:formatCode>#,##0</c:formatCode>
                <c:ptCount val="1"/>
                <c:pt idx="0">
                  <c:v>14690000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6-4538-AA2D-C31A4476A014}"/>
            </c:ext>
          </c:extLst>
        </c:ser>
        <c:ser>
          <c:idx val="1"/>
          <c:order val="1"/>
          <c:tx>
            <c:strRef>
              <c:f>Finance!$T$3</c:f>
              <c:strCache>
                <c:ptCount val="1"/>
                <c:pt idx="0">
                  <c:v>Sum of Expenses(Rs.)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Finance!$S$4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Finance!$T$4</c:f>
              <c:numCache>
                <c:formatCode>#,##0</c:formatCode>
                <c:ptCount val="1"/>
                <c:pt idx="0">
                  <c:v>11370000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66-4538-AA2D-C31A4476A014}"/>
            </c:ext>
          </c:extLst>
        </c:ser>
        <c:ser>
          <c:idx val="2"/>
          <c:order val="2"/>
          <c:tx>
            <c:strRef>
              <c:f>Finance!$U$3</c:f>
              <c:strCache>
                <c:ptCount val="1"/>
                <c:pt idx="0">
                  <c:v>Sum of Profit(Rs.)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Finance!$S$4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Finance!$U$4</c:f>
              <c:numCache>
                <c:formatCode>#,##0</c:formatCode>
                <c:ptCount val="1"/>
                <c:pt idx="0">
                  <c:v>3320000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66-4538-AA2D-C31A4476A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5240992"/>
        <c:axId val="1895235712"/>
      </c:barChart>
      <c:catAx>
        <c:axId val="189524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35712"/>
        <c:crosses val="autoZero"/>
        <c:auto val="1"/>
        <c:lblAlgn val="ctr"/>
        <c:lblOffset val="100"/>
        <c:noMultiLvlLbl val="0"/>
      </c:catAx>
      <c:valAx>
        <c:axId val="189523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4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4</xdr:row>
      <xdr:rowOff>156210</xdr:rowOff>
    </xdr:from>
    <xdr:to>
      <xdr:col>19</xdr:col>
      <xdr:colOff>891540</xdr:colOff>
      <xdr:row>19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3358FF-5684-625A-B347-E515665AF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76.750207407407" createdVersion="8" refreshedVersion="8" minRefreshableVersion="3" recordCount="18" xr:uid="{517F78B6-DE00-4B80-805A-6F4EE28B576A}">
  <cacheSource type="worksheet">
    <worksheetSource ref="A2:G20" sheet="Finance"/>
  </cacheSource>
  <cacheFields count="7">
    <cacheField name="Month" numFmtId="17">
      <sharedItems containsSemiMixedTypes="0" containsNonDate="0" containsDate="1" containsString="0" minDate="2025-01-01T00:00:00" maxDate="2026-06-02T00:00:00"/>
    </cacheField>
    <cacheField name="Department" numFmtId="0">
      <sharedItems count="6">
        <s v="Sales"/>
        <s v="Marketing"/>
        <s v="HR"/>
        <s v="IT"/>
        <s v="Operations"/>
        <s v="Finance"/>
      </sharedItems>
    </cacheField>
    <cacheField name="Revenue(Rs.)" numFmtId="3">
      <sharedItems containsSemiMixedTypes="0" containsString="0" containsNumber="1" containsInteger="1" minValue="550000" maxValue="1080000"/>
    </cacheField>
    <cacheField name="Expenses(Rs.)" numFmtId="3">
      <sharedItems containsSemiMixedTypes="0" containsString="0" containsNumber="1" containsInteger="1" minValue="420000" maxValue="840000"/>
    </cacheField>
    <cacheField name="Profit(Rs.)" numFmtId="3">
      <sharedItems containsSemiMixedTypes="0" containsString="0" containsNumber="1" containsInteger="1" minValue="110000" maxValue="250000"/>
    </cacheField>
    <cacheField name="Budget(Rs.)" numFmtId="3">
      <sharedItems containsSemiMixedTypes="0" containsString="0" containsNumber="1" containsInteger="1" minValue="500000" maxValue="1000000"/>
    </cacheField>
    <cacheField name="Actual(Rs.)" numFmtId="3">
      <sharedItems containsSemiMixedTypes="0" containsString="0" containsNumber="1" containsInteger="1" minValue="550000" maxValue="108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d v="2025-01-01T00:00:00"/>
    <x v="0"/>
    <n v="850000"/>
    <n v="620000"/>
    <n v="230000"/>
    <n v="800000"/>
    <n v="850000"/>
  </r>
  <r>
    <d v="2025-02-01T00:00:00"/>
    <x v="1"/>
    <n v="720000"/>
    <n v="540000"/>
    <n v="180000"/>
    <n v="700000"/>
    <n v="720000"/>
  </r>
  <r>
    <d v="2025-03-01T00:00:00"/>
    <x v="2"/>
    <n v="550000"/>
    <n v="420000"/>
    <n v="130000"/>
    <n v="500000"/>
    <n v="550000"/>
  </r>
  <r>
    <d v="2025-04-01T00:00:00"/>
    <x v="3"/>
    <n v="940000"/>
    <n v="760000"/>
    <n v="180000"/>
    <n v="900000"/>
    <n v="940000"/>
  </r>
  <r>
    <d v="2025-05-01T00:00:00"/>
    <x v="4"/>
    <n v="680000"/>
    <n v="510000"/>
    <n v="170000"/>
    <n v="650000"/>
    <n v="680000"/>
  </r>
  <r>
    <d v="2025-06-01T00:00:00"/>
    <x v="5"/>
    <n v="1020000"/>
    <n v="800000"/>
    <n v="220000"/>
    <n v="1000000"/>
    <n v="1020000"/>
  </r>
  <r>
    <d v="2025-07-01T00:00:00"/>
    <x v="2"/>
    <n v="580000"/>
    <n v="470000"/>
    <n v="110000"/>
    <n v="550000"/>
    <n v="580000"/>
  </r>
  <r>
    <d v="2025-08-01T00:00:00"/>
    <x v="0"/>
    <n v="970000"/>
    <n v="720000"/>
    <n v="250000"/>
    <n v="950000"/>
    <n v="970000"/>
  </r>
  <r>
    <d v="2025-09-01T00:00:00"/>
    <x v="1"/>
    <n v="760000"/>
    <n v="580000"/>
    <n v="180000"/>
    <n v="720000"/>
    <n v="760000"/>
  </r>
  <r>
    <d v="2025-10-01T00:00:00"/>
    <x v="3"/>
    <n v="1080000"/>
    <n v="840000"/>
    <n v="240000"/>
    <n v="1000000"/>
    <n v="1080000"/>
  </r>
  <r>
    <d v="2025-11-01T00:00:00"/>
    <x v="4"/>
    <n v="650000"/>
    <n v="520000"/>
    <n v="130000"/>
    <n v="600000"/>
    <n v="650000"/>
  </r>
  <r>
    <d v="2025-12-01T00:00:00"/>
    <x v="5"/>
    <n v="930000"/>
    <n v="740000"/>
    <n v="190000"/>
    <n v="900000"/>
    <n v="930000"/>
  </r>
  <r>
    <d v="2026-01-01T00:00:00"/>
    <x v="0"/>
    <n v="880000"/>
    <n v="670000"/>
    <n v="210000"/>
    <n v="850000"/>
    <n v="880000"/>
  </r>
  <r>
    <d v="2026-02-01T00:00:00"/>
    <x v="1"/>
    <n v="750000"/>
    <n v="580000"/>
    <n v="170000"/>
    <n v="720000"/>
    <n v="750000"/>
  </r>
  <r>
    <d v="2026-03-01T00:00:00"/>
    <x v="2"/>
    <n v="590000"/>
    <n v="450000"/>
    <n v="140000"/>
    <n v="550000"/>
    <n v="590000"/>
  </r>
  <r>
    <d v="2026-04-01T00:00:00"/>
    <x v="3"/>
    <n v="980000"/>
    <n v="790000"/>
    <n v="190000"/>
    <n v="950000"/>
    <n v="980000"/>
  </r>
  <r>
    <d v="2026-05-01T00:00:00"/>
    <x v="4"/>
    <n v="710000"/>
    <n v="540000"/>
    <n v="170000"/>
    <n v="680000"/>
    <n v="710000"/>
  </r>
  <r>
    <d v="2026-06-01T00:00:00"/>
    <x v="5"/>
    <n v="1050000"/>
    <n v="820000"/>
    <n v="230000"/>
    <n v="1000000"/>
    <n v="10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1C9C91-F229-4755-BDD5-9D04D8B6AEC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S3:U4" firstHeaderRow="0" firstDataRow="1" firstDataCol="0"/>
  <pivotFields count="7">
    <pivotField numFmtId="17" showAll="0"/>
    <pivotField showAll="0">
      <items count="7">
        <item x="5"/>
        <item x="2"/>
        <item x="3"/>
        <item x="1"/>
        <item x="4"/>
        <item x="0"/>
        <item t="default"/>
      </items>
    </pivotField>
    <pivotField dataField="1" numFmtId="3" showAll="0"/>
    <pivotField dataField="1" numFmtId="3" showAll="0"/>
    <pivotField dataField="1" numFmtId="3" showAll="0"/>
    <pivotField numFmtId="3" showAll="0"/>
    <pivotField numFmtId="3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(Rs.)" fld="2" baseField="0" baseItem="0" numFmtId="3"/>
    <dataField name="Sum of Expenses(Rs.)" fld="3" baseField="0" baseItem="0" numFmtId="3"/>
    <dataField name="Sum of Profit(Rs.)" fld="4" baseField="0" baseItem="0" numFmtId="3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6556A-2B27-482D-AD72-CE4B00DE7F63}">
  <dimension ref="A1:U23"/>
  <sheetViews>
    <sheetView tabSelected="1" workbookViewId="0">
      <selection activeCell="U10" sqref="U10"/>
    </sheetView>
  </sheetViews>
  <sheetFormatPr defaultRowHeight="14.4" x14ac:dyDescent="0.3"/>
  <cols>
    <col min="1" max="1" width="8.21875" customWidth="1"/>
    <col min="2" max="2" width="10.5546875" bestFit="1" customWidth="1"/>
    <col min="3" max="3" width="11.5546875" bestFit="1" customWidth="1"/>
    <col min="4" max="4" width="12.21875" bestFit="1" customWidth="1"/>
    <col min="5" max="5" width="9" bestFit="1" customWidth="1"/>
    <col min="6" max="6" width="10.21875" bestFit="1" customWidth="1"/>
    <col min="7" max="7" width="9.77734375" bestFit="1" customWidth="1"/>
    <col min="10" max="10" width="15.33203125" bestFit="1" customWidth="1"/>
    <col min="13" max="13" width="13.109375" bestFit="1" customWidth="1"/>
    <col min="19" max="19" width="18.109375" bestFit="1" customWidth="1"/>
    <col min="20" max="20" width="18.88671875" bestFit="1" customWidth="1"/>
    <col min="21" max="21" width="15.5546875" bestFit="1" customWidth="1"/>
  </cols>
  <sheetData>
    <row r="1" spans="1:21" ht="26.4" customHeight="1" x14ac:dyDescent="0.55000000000000004">
      <c r="B1" t="s">
        <v>13</v>
      </c>
    </row>
    <row r="2" spans="1:21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/>
      <c r="I2" s="8" t="s">
        <v>17</v>
      </c>
      <c r="J2" s="9"/>
      <c r="K2" s="9"/>
    </row>
    <row r="3" spans="1:21" x14ac:dyDescent="0.3">
      <c r="A3" s="3">
        <v>45658</v>
      </c>
      <c r="B3" s="4" t="s">
        <v>10</v>
      </c>
      <c r="C3" s="5">
        <v>850000</v>
      </c>
      <c r="D3" s="5">
        <v>620000</v>
      </c>
      <c r="E3" s="5">
        <v>230000</v>
      </c>
      <c r="F3" s="5">
        <v>800000</v>
      </c>
      <c r="G3" s="5">
        <v>850000</v>
      </c>
      <c r="I3" s="4" t="s">
        <v>18</v>
      </c>
      <c r="J3" s="5">
        <f>SUM(C3:C20)</f>
        <v>14690000</v>
      </c>
      <c r="S3" t="s">
        <v>14</v>
      </c>
      <c r="T3" t="s">
        <v>15</v>
      </c>
      <c r="U3" t="s">
        <v>16</v>
      </c>
    </row>
    <row r="4" spans="1:21" x14ac:dyDescent="0.3">
      <c r="A4" s="3">
        <v>45689</v>
      </c>
      <c r="B4" s="4" t="s">
        <v>9</v>
      </c>
      <c r="C4" s="5">
        <v>720000</v>
      </c>
      <c r="D4" s="5">
        <v>540000</v>
      </c>
      <c r="E4" s="5">
        <v>180000</v>
      </c>
      <c r="F4" s="5">
        <v>700000</v>
      </c>
      <c r="G4" s="5">
        <v>720000</v>
      </c>
      <c r="I4" s="4" t="s">
        <v>19</v>
      </c>
      <c r="J4" s="5">
        <f>AVERAGE(E3:E20)</f>
        <v>184444.44444444444</v>
      </c>
      <c r="S4" s="1">
        <v>14690000</v>
      </c>
      <c r="T4" s="1">
        <v>11370000</v>
      </c>
      <c r="U4" s="1">
        <v>3320000</v>
      </c>
    </row>
    <row r="5" spans="1:21" x14ac:dyDescent="0.3">
      <c r="A5" s="3">
        <v>45717</v>
      </c>
      <c r="B5" s="4" t="s">
        <v>8</v>
      </c>
      <c r="C5" s="5">
        <v>550000</v>
      </c>
      <c r="D5" s="5">
        <v>420000</v>
      </c>
      <c r="E5" s="5">
        <v>130000</v>
      </c>
      <c r="F5" s="5">
        <v>500000</v>
      </c>
      <c r="G5" s="5">
        <v>550000</v>
      </c>
      <c r="I5" s="4" t="s">
        <v>20</v>
      </c>
      <c r="J5" s="5">
        <f>MIN(E3:E20)</f>
        <v>110000</v>
      </c>
      <c r="L5" s="10" t="s">
        <v>36</v>
      </c>
      <c r="M5" s="10"/>
    </row>
    <row r="6" spans="1:21" x14ac:dyDescent="0.3">
      <c r="A6" s="3">
        <v>45748</v>
      </c>
      <c r="B6" s="4" t="s">
        <v>7</v>
      </c>
      <c r="C6" s="5">
        <v>940000</v>
      </c>
      <c r="D6" s="5">
        <v>760000</v>
      </c>
      <c r="E6" s="5">
        <v>180000</v>
      </c>
      <c r="F6" s="5">
        <v>900000</v>
      </c>
      <c r="G6" s="5">
        <v>940000</v>
      </c>
      <c r="I6" s="4" t="s">
        <v>21</v>
      </c>
      <c r="J6" s="5">
        <f>MAX(E3:E20)</f>
        <v>250000</v>
      </c>
      <c r="L6" s="4" t="s">
        <v>37</v>
      </c>
      <c r="M6" s="11">
        <f>PMT(0.08/12,12,-1000000)</f>
        <v>86988.42908542107</v>
      </c>
    </row>
    <row r="7" spans="1:21" x14ac:dyDescent="0.3">
      <c r="A7" s="3">
        <v>45778</v>
      </c>
      <c r="B7" s="4" t="s">
        <v>12</v>
      </c>
      <c r="C7" s="5">
        <v>680000</v>
      </c>
      <c r="D7" s="5">
        <v>510000</v>
      </c>
      <c r="E7" s="5">
        <v>170000</v>
      </c>
      <c r="F7" s="5">
        <v>650000</v>
      </c>
      <c r="G7" s="5">
        <v>680000</v>
      </c>
      <c r="I7" s="4" t="s">
        <v>22</v>
      </c>
      <c r="J7" s="4">
        <v>18</v>
      </c>
      <c r="L7" s="4" t="s">
        <v>38</v>
      </c>
      <c r="M7" s="11">
        <f>NPV(0.1,C3:C20)</f>
        <v>6570249.1983969705</v>
      </c>
    </row>
    <row r="8" spans="1:21" x14ac:dyDescent="0.3">
      <c r="A8" s="3">
        <v>45809</v>
      </c>
      <c r="B8" s="4" t="s">
        <v>11</v>
      </c>
      <c r="C8" s="5">
        <v>1020000</v>
      </c>
      <c r="D8" s="5">
        <v>800000</v>
      </c>
      <c r="E8" s="5">
        <v>220000</v>
      </c>
      <c r="F8" s="5">
        <v>1000000</v>
      </c>
      <c r="G8" s="5">
        <v>1020000</v>
      </c>
    </row>
    <row r="9" spans="1:21" x14ac:dyDescent="0.3">
      <c r="A9" s="3">
        <v>45839</v>
      </c>
      <c r="B9" s="4" t="s">
        <v>8</v>
      </c>
      <c r="C9" s="5">
        <v>580000</v>
      </c>
      <c r="D9" s="5">
        <v>470000</v>
      </c>
      <c r="E9" s="5">
        <v>110000</v>
      </c>
      <c r="F9" s="5">
        <v>550000</v>
      </c>
      <c r="G9" s="5">
        <v>580000</v>
      </c>
      <c r="I9" s="10" t="s">
        <v>23</v>
      </c>
      <c r="J9" s="10"/>
      <c r="L9" s="10" t="s">
        <v>39</v>
      </c>
      <c r="M9" s="10"/>
    </row>
    <row r="10" spans="1:21" x14ac:dyDescent="0.3">
      <c r="A10" s="3">
        <v>45870</v>
      </c>
      <c r="B10" s="4" t="s">
        <v>10</v>
      </c>
      <c r="C10" s="5">
        <v>970000</v>
      </c>
      <c r="D10" s="5">
        <v>720000</v>
      </c>
      <c r="E10" s="5">
        <v>250000</v>
      </c>
      <c r="F10" s="5">
        <v>950000</v>
      </c>
      <c r="G10" s="5">
        <v>970000</v>
      </c>
      <c r="I10" s="4" t="s">
        <v>24</v>
      </c>
      <c r="J10" s="4" t="str">
        <f>IF(E3&gt;200000,"Good Profit","Low Profit")</f>
        <v>Good Profit</v>
      </c>
      <c r="L10" s="4" t="s">
        <v>40</v>
      </c>
      <c r="M10" s="4">
        <f>VLOOKUP("HR",B3:E20,3,FALSE)</f>
        <v>420000</v>
      </c>
    </row>
    <row r="11" spans="1:21" x14ac:dyDescent="0.3">
      <c r="A11" s="3">
        <v>45901</v>
      </c>
      <c r="B11" s="4" t="s">
        <v>9</v>
      </c>
      <c r="C11" s="5">
        <v>760000</v>
      </c>
      <c r="D11" s="5">
        <v>580000</v>
      </c>
      <c r="E11" s="5">
        <v>180000</v>
      </c>
      <c r="F11" s="5">
        <v>720000</v>
      </c>
      <c r="G11" s="5">
        <v>760000</v>
      </c>
      <c r="I11" s="4" t="s">
        <v>25</v>
      </c>
      <c r="J11" s="4" t="b">
        <f>AND(C3&gt;800000,E3&gt;150000)</f>
        <v>1</v>
      </c>
      <c r="L11" s="4" t="s">
        <v>41</v>
      </c>
      <c r="M11" s="5">
        <v>187222</v>
      </c>
    </row>
    <row r="12" spans="1:21" x14ac:dyDescent="0.3">
      <c r="A12" s="3">
        <v>45931</v>
      </c>
      <c r="B12" s="4" t="s">
        <v>7</v>
      </c>
      <c r="C12" s="5">
        <v>1080000</v>
      </c>
      <c r="D12" s="5">
        <v>840000</v>
      </c>
      <c r="E12" s="5">
        <v>240000</v>
      </c>
      <c r="F12" s="5">
        <v>1000000</v>
      </c>
      <c r="G12" s="5">
        <v>1080000</v>
      </c>
      <c r="I12" s="4" t="s">
        <v>26</v>
      </c>
      <c r="J12" s="4" t="b">
        <f>OR(D3&gt;700000,E3&gt;150000)</f>
        <v>1</v>
      </c>
    </row>
    <row r="13" spans="1:21" x14ac:dyDescent="0.3">
      <c r="A13" s="3">
        <v>45962</v>
      </c>
      <c r="B13" s="4" t="s">
        <v>12</v>
      </c>
      <c r="C13" s="5">
        <v>650000</v>
      </c>
      <c r="D13" s="5">
        <v>520000</v>
      </c>
      <c r="E13" s="5">
        <v>130000</v>
      </c>
      <c r="F13" s="5">
        <v>600000</v>
      </c>
      <c r="G13" s="5">
        <v>650000</v>
      </c>
      <c r="I13" s="2"/>
      <c r="J13" s="2"/>
    </row>
    <row r="14" spans="1:21" x14ac:dyDescent="0.3">
      <c r="A14" s="3">
        <v>45992</v>
      </c>
      <c r="B14" s="4" t="s">
        <v>11</v>
      </c>
      <c r="C14" s="5">
        <v>930000</v>
      </c>
      <c r="D14" s="5">
        <v>740000</v>
      </c>
      <c r="E14" s="5">
        <v>190000</v>
      </c>
      <c r="F14" s="5">
        <v>900000</v>
      </c>
      <c r="G14" s="5">
        <v>930000</v>
      </c>
      <c r="I14" s="10" t="s">
        <v>27</v>
      </c>
      <c r="J14" s="10"/>
    </row>
    <row r="15" spans="1:21" x14ac:dyDescent="0.3">
      <c r="A15" s="3">
        <v>46023</v>
      </c>
      <c r="B15" s="4" t="s">
        <v>10</v>
      </c>
      <c r="C15" s="5">
        <v>880000</v>
      </c>
      <c r="D15" s="5">
        <v>670000</v>
      </c>
      <c r="E15" s="5">
        <v>210000</v>
      </c>
      <c r="F15" s="5">
        <v>850000</v>
      </c>
      <c r="G15" s="5">
        <v>880000</v>
      </c>
      <c r="I15" s="4" t="s">
        <v>28</v>
      </c>
      <c r="J15" s="4" t="str">
        <f>LEFT(B3,3)</f>
        <v>Sal</v>
      </c>
    </row>
    <row r="16" spans="1:21" x14ac:dyDescent="0.3">
      <c r="A16" s="3">
        <v>46054</v>
      </c>
      <c r="B16" s="4" t="s">
        <v>9</v>
      </c>
      <c r="C16" s="5">
        <v>750000</v>
      </c>
      <c r="D16" s="5">
        <v>580000</v>
      </c>
      <c r="E16" s="5">
        <v>170000</v>
      </c>
      <c r="F16" s="5">
        <v>720000</v>
      </c>
      <c r="G16" s="5">
        <v>750000</v>
      </c>
      <c r="I16" s="4" t="s">
        <v>29</v>
      </c>
      <c r="J16" s="4" t="str">
        <f>RIGHT(B4,4)</f>
        <v>ting</v>
      </c>
    </row>
    <row r="17" spans="1:10" x14ac:dyDescent="0.3">
      <c r="A17" s="3">
        <v>46082</v>
      </c>
      <c r="B17" s="4" t="s">
        <v>8</v>
      </c>
      <c r="C17" s="5">
        <v>590000</v>
      </c>
      <c r="D17" s="5">
        <v>450000</v>
      </c>
      <c r="E17" s="5">
        <v>140000</v>
      </c>
      <c r="F17" s="5">
        <v>550000</v>
      </c>
      <c r="G17" s="5">
        <v>590000</v>
      </c>
      <c r="I17" s="4" t="s">
        <v>30</v>
      </c>
      <c r="J17" s="4" t="str">
        <f>MID(B5,2,3)</f>
        <v>R</v>
      </c>
    </row>
    <row r="18" spans="1:10" x14ac:dyDescent="0.3">
      <c r="A18" s="3">
        <v>46113</v>
      </c>
      <c r="B18" s="4" t="s">
        <v>7</v>
      </c>
      <c r="C18" s="5">
        <v>980000</v>
      </c>
      <c r="D18" s="5">
        <v>790000</v>
      </c>
      <c r="E18" s="5">
        <v>190000</v>
      </c>
      <c r="F18" s="5">
        <v>950000</v>
      </c>
      <c r="G18" s="5">
        <v>980000</v>
      </c>
      <c r="I18" s="4" t="s">
        <v>31</v>
      </c>
      <c r="J18" s="4" t="str">
        <f>_xlfn.CONCAT(B3,"-",A3)</f>
        <v>Sales-45658</v>
      </c>
    </row>
    <row r="19" spans="1:10" x14ac:dyDescent="0.3">
      <c r="A19" s="3">
        <v>46143</v>
      </c>
      <c r="B19" s="4" t="s">
        <v>12</v>
      </c>
      <c r="C19" s="5">
        <v>710000</v>
      </c>
      <c r="D19" s="5">
        <v>540000</v>
      </c>
      <c r="E19" s="5">
        <v>170000</v>
      </c>
      <c r="F19" s="5">
        <v>680000</v>
      </c>
      <c r="G19" s="5">
        <v>710000</v>
      </c>
    </row>
    <row r="20" spans="1:10" x14ac:dyDescent="0.3">
      <c r="A20" s="3">
        <v>46174</v>
      </c>
      <c r="B20" s="4" t="s">
        <v>11</v>
      </c>
      <c r="C20" s="5">
        <v>1050000</v>
      </c>
      <c r="D20" s="5">
        <v>820000</v>
      </c>
      <c r="E20" s="5">
        <v>230000</v>
      </c>
      <c r="F20" s="5">
        <v>1000000</v>
      </c>
      <c r="G20" s="5">
        <v>1050000</v>
      </c>
      <c r="I20" s="12" t="s">
        <v>32</v>
      </c>
      <c r="J20" s="12"/>
    </row>
    <row r="21" spans="1:10" x14ac:dyDescent="0.3">
      <c r="I21" s="4" t="s">
        <v>33</v>
      </c>
      <c r="J21" s="13">
        <f ca="1">TODAY()</f>
        <v>46076</v>
      </c>
    </row>
    <row r="22" spans="1:10" x14ac:dyDescent="0.3">
      <c r="I22" s="4" t="s">
        <v>34</v>
      </c>
      <c r="J22" s="14">
        <f ca="1">NOW()</f>
        <v>46076.776369328705</v>
      </c>
    </row>
    <row r="23" spans="1:10" x14ac:dyDescent="0.3">
      <c r="I23" s="4" t="s">
        <v>35</v>
      </c>
      <c r="J23" s="4">
        <f>DATEDIF(A3,"2026-12-31","m")</f>
        <v>23</v>
      </c>
    </row>
  </sheetData>
  <mergeCells count="5">
    <mergeCell ref="I9:J9"/>
    <mergeCell ref="I14:J14"/>
    <mergeCell ref="L5:M5"/>
    <mergeCell ref="L9:M9"/>
    <mergeCell ref="I20:J20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2026-02-23T11:52:00Z</dcterms:created>
  <dcterms:modified xsi:type="dcterms:W3CDTF">2026-02-23T13:07:58Z</dcterms:modified>
</cp:coreProperties>
</file>