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2F0D0CFE-F2A1-458C-8297-427BC68A761D}" xr6:coauthVersionLast="47" xr6:coauthVersionMax="47" xr10:uidLastSave="{00000000-0000-0000-0000-000000000000}"/>
  <bookViews>
    <workbookView xWindow="-108" yWindow="-108" windowWidth="23256" windowHeight="12456" activeTab="1" xr2:uid="{F19D8E8B-2556-40C7-9842-948136A52E7F}"/>
  </bookViews>
  <sheets>
    <sheet name="Sheet1" sheetId="2" r:id="rId1"/>
    <sheet name="Marketing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14" i="1"/>
  <c r="J13" i="1"/>
  <c r="J9" i="1"/>
  <c r="J8" i="1"/>
  <c r="J4" i="1"/>
  <c r="J3" i="1"/>
  <c r="G19" i="1"/>
  <c r="G18" i="1"/>
  <c r="G17" i="1"/>
  <c r="G16" i="1"/>
  <c r="G12" i="1"/>
  <c r="G11" i="1"/>
  <c r="G10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<sst xmlns="http://schemas.openxmlformats.org/spreadsheetml/2006/main" count="74" uniqueCount="52">
  <si>
    <t>Campaign</t>
  </si>
  <si>
    <t>Leads Generated</t>
  </si>
  <si>
    <t>Cost</t>
  </si>
  <si>
    <t>Conversion Rate (%)</t>
  </si>
  <si>
    <t>Marketing Data Table</t>
  </si>
  <si>
    <t>Summer</t>
  </si>
  <si>
    <t>Festival</t>
  </si>
  <si>
    <t>Influence</t>
  </si>
  <si>
    <t>Email</t>
  </si>
  <si>
    <t>Winter</t>
  </si>
  <si>
    <t>New Year</t>
  </si>
  <si>
    <t>Girl's Day</t>
  </si>
  <si>
    <t>Monsoon</t>
  </si>
  <si>
    <t>Republic Day</t>
  </si>
  <si>
    <t>School</t>
  </si>
  <si>
    <t>Tech Fair</t>
  </si>
  <si>
    <t>Science Day</t>
  </si>
  <si>
    <t>b</t>
  </si>
  <si>
    <t>Birthday Offer</t>
  </si>
  <si>
    <t>Boy's Event</t>
  </si>
  <si>
    <t>Children's Fest</t>
  </si>
  <si>
    <t>Mathematical Functions</t>
  </si>
  <si>
    <t>Function Type</t>
  </si>
  <si>
    <t>Output</t>
  </si>
  <si>
    <t>SUM</t>
  </si>
  <si>
    <t>AVERAGE</t>
  </si>
  <si>
    <t>MIN</t>
  </si>
  <si>
    <t>MAX</t>
  </si>
  <si>
    <t>COUNT</t>
  </si>
  <si>
    <t>Logical Functions</t>
  </si>
  <si>
    <t>IF</t>
  </si>
  <si>
    <t>AND</t>
  </si>
  <si>
    <t>OR</t>
  </si>
  <si>
    <t>Text Functions</t>
  </si>
  <si>
    <t>LEFT</t>
  </si>
  <si>
    <t>RIGHT</t>
  </si>
  <si>
    <t>MID</t>
  </si>
  <si>
    <t>CONCATENATE</t>
  </si>
  <si>
    <t>Date Functions</t>
  </si>
  <si>
    <t>TODAY</t>
  </si>
  <si>
    <t>NOW</t>
  </si>
  <si>
    <t>Financial Functions</t>
  </si>
  <si>
    <t>PMT</t>
  </si>
  <si>
    <t>NPV</t>
  </si>
  <si>
    <t>Lookup Functions</t>
  </si>
  <si>
    <t>Formula</t>
  </si>
  <si>
    <t>VLOOKUP</t>
  </si>
  <si>
    <t>HLOOKUP</t>
  </si>
  <si>
    <t>XLOOKUP</t>
  </si>
  <si>
    <t>Row Labels</t>
  </si>
  <si>
    <t>Grand Total</t>
  </si>
  <si>
    <t>Sum of Leads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</si>
</sst>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3" fillId="3" borderId="0" xfId="0" applyFont="1" applyFill="1"/>
    <xf numFmtId="0" fontId="4" fillId="3" borderId="2" xfId="0" applyFont="1" applyFill="1" applyBorder="1"/>
    <xf numFmtId="0" fontId="3" fillId="4" borderId="1" xfId="0" applyFont="1" applyFill="1" applyBorder="1" applyAlignment="1">
      <alignment horizontal="center"/>
    </xf>
    <xf numFmtId="0" fontId="0" fillId="4" borderId="1" xfId="0" applyFill="1" applyBorder="1"/>
    <xf numFmtId="14" fontId="0" fillId="0" borderId="1" xfId="0" applyNumberFormat="1" applyBorder="1"/>
    <xf numFmtId="22" fontId="0" fillId="0" borderId="1" xfId="0" applyNumberFormat="1" applyBorder="1"/>
    <xf numFmtId="8" fontId="0" fillId="0" borderId="1" xfId="0" applyNumberFormat="1" applyBorder="1"/>
    <xf numFmtId="0" fontId="1" fillId="4" borderId="1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 M.xlsx]Sheet1!PivotTable3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Sheet1!$A$4:$A$19</c:f>
              <c:strCache>
                <c:ptCount val="15"/>
                <c:pt idx="0">
                  <c:v>Birthday Offer</c:v>
                </c:pt>
                <c:pt idx="1">
                  <c:v>Boy's Event</c:v>
                </c:pt>
                <c:pt idx="2">
                  <c:v>Children's Fest</c:v>
                </c:pt>
                <c:pt idx="3">
                  <c:v>Email</c:v>
                </c:pt>
                <c:pt idx="4">
                  <c:v>Festival</c:v>
                </c:pt>
                <c:pt idx="5">
                  <c:v>Girl's Day</c:v>
                </c:pt>
                <c:pt idx="6">
                  <c:v>Influence</c:v>
                </c:pt>
                <c:pt idx="7">
                  <c:v>Monsoon</c:v>
                </c:pt>
                <c:pt idx="8">
                  <c:v>New Year</c:v>
                </c:pt>
                <c:pt idx="9">
                  <c:v>Republic Day</c:v>
                </c:pt>
                <c:pt idx="10">
                  <c:v>School</c:v>
                </c:pt>
                <c:pt idx="11">
                  <c:v>Science Day</c:v>
                </c:pt>
                <c:pt idx="12">
                  <c:v>Summer</c:v>
                </c:pt>
                <c:pt idx="13">
                  <c:v>Tech Fair</c:v>
                </c:pt>
                <c:pt idx="14">
                  <c:v>Winter</c:v>
                </c:pt>
              </c:strCache>
            </c:strRef>
          </c:cat>
          <c:val>
            <c:numRef>
              <c:f>Sheet1!$B$4:$B$19</c:f>
              <c:numCache>
                <c:formatCode>General</c:formatCode>
                <c:ptCount val="15"/>
                <c:pt idx="0">
                  <c:v>270</c:v>
                </c:pt>
                <c:pt idx="1">
                  <c:v>860</c:v>
                </c:pt>
                <c:pt idx="2">
                  <c:v>940</c:v>
                </c:pt>
                <c:pt idx="3">
                  <c:v>150</c:v>
                </c:pt>
                <c:pt idx="4">
                  <c:v>180</c:v>
                </c:pt>
                <c:pt idx="5">
                  <c:v>530</c:v>
                </c:pt>
                <c:pt idx="6">
                  <c:v>320</c:v>
                </c:pt>
                <c:pt idx="7">
                  <c:v>730</c:v>
                </c:pt>
                <c:pt idx="8">
                  <c:v>210</c:v>
                </c:pt>
                <c:pt idx="9">
                  <c:v>170</c:v>
                </c:pt>
                <c:pt idx="10">
                  <c:v>790</c:v>
                </c:pt>
                <c:pt idx="11">
                  <c:v>610</c:v>
                </c:pt>
                <c:pt idx="12">
                  <c:v>250</c:v>
                </c:pt>
                <c:pt idx="13">
                  <c:v>430</c:v>
                </c:pt>
                <c:pt idx="1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4-440B-B1AB-298601A06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8716287"/>
        <c:axId val="1488704767"/>
      </c:barChart>
      <c:catAx>
        <c:axId val="148871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704767"/>
        <c:crosses val="autoZero"/>
        <c:auto val="1"/>
        <c:lblAlgn val="ctr"/>
        <c:lblOffset val="100"/>
        <c:noMultiLvlLbl val="0"/>
      </c:catAx>
      <c:valAx>
        <c:axId val="148870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71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6</xdr:row>
      <xdr:rowOff>41910</xdr:rowOff>
    </xdr:from>
    <xdr:to>
      <xdr:col>12</xdr:col>
      <xdr:colOff>388620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892E61-90F0-4C02-675C-D3346E5D3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9.85680115741" createdVersion="8" refreshedVersion="8" minRefreshableVersion="3" recordCount="15" xr:uid="{50676C5F-2145-43D3-BC84-7381473B561F}">
  <cacheSource type="worksheet">
    <worksheetSource ref="A2:D17" sheet="Marketing"/>
  </cacheSource>
  <cacheFields count="4">
    <cacheField name="Campaign" numFmtId="0">
      <sharedItems count="15">
        <s v="Summer"/>
        <s v="Festival"/>
        <s v="Influence"/>
        <s v="Email"/>
        <s v="Winter"/>
        <s v="New Year"/>
        <s v="Girl's Day"/>
        <s v="Monsoon"/>
        <s v="Republic Day"/>
        <s v="School"/>
        <s v="Tech Fair"/>
        <s v="Science Day"/>
        <s v="Birthday Offer"/>
        <s v="Boy's Event"/>
        <s v="Children's Fest"/>
      </sharedItems>
    </cacheField>
    <cacheField name="Leads Generated" numFmtId="0">
      <sharedItems containsSemiMixedTypes="0" containsString="0" containsNumber="1" containsInteger="1" minValue="150" maxValue="940"/>
    </cacheField>
    <cacheField name="Cost" numFmtId="3">
      <sharedItems containsSemiMixedTypes="0" containsString="0" containsNumber="1" containsInteger="1" minValue="11000" maxValue="91000"/>
    </cacheField>
    <cacheField name="Conversion Rate (%)" numFmtId="0">
      <sharedItems containsSemiMixedTypes="0" containsString="0" containsNumber="1" containsInteger="1" minValue="5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250"/>
    <n v="45000"/>
    <n v="8"/>
  </r>
  <r>
    <x v="1"/>
    <n v="180"/>
    <n v="34000"/>
    <n v="6"/>
  </r>
  <r>
    <x v="2"/>
    <n v="320"/>
    <n v="25000"/>
    <n v="10"/>
  </r>
  <r>
    <x v="3"/>
    <n v="150"/>
    <n v="12000"/>
    <n v="5"/>
  </r>
  <r>
    <x v="4"/>
    <n v="400"/>
    <n v="54000"/>
    <n v="12"/>
  </r>
  <r>
    <x v="5"/>
    <n v="210"/>
    <n v="89000"/>
    <n v="8"/>
  </r>
  <r>
    <x v="6"/>
    <n v="530"/>
    <n v="50000"/>
    <n v="9"/>
  </r>
  <r>
    <x v="7"/>
    <n v="730"/>
    <n v="21000"/>
    <n v="11"/>
  </r>
  <r>
    <x v="8"/>
    <n v="170"/>
    <n v="67000"/>
    <n v="7"/>
  </r>
  <r>
    <x v="9"/>
    <n v="790"/>
    <n v="79000"/>
    <n v="13"/>
  </r>
  <r>
    <x v="10"/>
    <n v="430"/>
    <n v="48000"/>
    <n v="10"/>
  </r>
  <r>
    <x v="11"/>
    <n v="610"/>
    <n v="45000"/>
    <n v="11"/>
  </r>
  <r>
    <x v="12"/>
    <n v="270"/>
    <n v="11000"/>
    <n v="6"/>
  </r>
  <r>
    <x v="13"/>
    <n v="860"/>
    <n v="91000"/>
    <n v="12"/>
  </r>
  <r>
    <x v="14"/>
    <n v="940"/>
    <n v="37000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946CE-113B-4FB3-B899-40578C89F4E8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9" firstHeaderRow="1" firstDataRow="1" firstDataCol="1"/>
  <pivotFields count="4">
    <pivotField axis="axisRow" showAll="0">
      <items count="16">
        <item x="12"/>
        <item x="13"/>
        <item x="14"/>
        <item x="3"/>
        <item x="1"/>
        <item x="6"/>
        <item x="2"/>
        <item x="7"/>
        <item x="5"/>
        <item x="8"/>
        <item x="9"/>
        <item x="11"/>
        <item x="0"/>
        <item x="10"/>
        <item x="4"/>
        <item t="default"/>
      </items>
    </pivotField>
    <pivotField dataField="1" showAll="0"/>
    <pivotField numFmtId="3"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Leads Generated" fld="1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86754-327D-4BC6-87F3-D753C2F9113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9:N26" firstHeaderRow="1" firstDataRow="1" firstDataCol="0"/>
  <pivotFields count="4">
    <pivotField showAll="0"/>
    <pivotField showAll="0"/>
    <pivotField numFmtId="3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7B4E-25A1-449F-83A6-E666927DA597}">
  <dimension ref="A3:B19"/>
  <sheetViews>
    <sheetView workbookViewId="0">
      <selection activeCell="O14" sqref="O14"/>
    </sheetView>
  </sheetViews>
  <sheetFormatPr defaultRowHeight="14.4" x14ac:dyDescent="0.3"/>
  <cols>
    <col min="1" max="1" width="12.77734375" bestFit="1" customWidth="1"/>
    <col min="2" max="4" width="21.33203125" bestFit="1" customWidth="1"/>
  </cols>
  <sheetData>
    <row r="3" spans="1:2" x14ac:dyDescent="0.3">
      <c r="A3" s="24" t="s">
        <v>49</v>
      </c>
      <c r="B3" t="s">
        <v>51</v>
      </c>
    </row>
    <row r="4" spans="1:2" x14ac:dyDescent="0.3">
      <c r="A4" s="25" t="s">
        <v>18</v>
      </c>
      <c r="B4" s="26">
        <v>270</v>
      </c>
    </row>
    <row r="5" spans="1:2" x14ac:dyDescent="0.3">
      <c r="A5" s="25" t="s">
        <v>19</v>
      </c>
      <c r="B5" s="26">
        <v>860</v>
      </c>
    </row>
    <row r="6" spans="1:2" x14ac:dyDescent="0.3">
      <c r="A6" s="25" t="s">
        <v>20</v>
      </c>
      <c r="B6" s="26">
        <v>940</v>
      </c>
    </row>
    <row r="7" spans="1:2" x14ac:dyDescent="0.3">
      <c r="A7" s="25" t="s">
        <v>8</v>
      </c>
      <c r="B7" s="26">
        <v>150</v>
      </c>
    </row>
    <row r="8" spans="1:2" x14ac:dyDescent="0.3">
      <c r="A8" s="25" t="s">
        <v>6</v>
      </c>
      <c r="B8" s="26">
        <v>180</v>
      </c>
    </row>
    <row r="9" spans="1:2" x14ac:dyDescent="0.3">
      <c r="A9" s="25" t="s">
        <v>11</v>
      </c>
      <c r="B9" s="26">
        <v>530</v>
      </c>
    </row>
    <row r="10" spans="1:2" x14ac:dyDescent="0.3">
      <c r="A10" s="25" t="s">
        <v>7</v>
      </c>
      <c r="B10" s="26">
        <v>320</v>
      </c>
    </row>
    <row r="11" spans="1:2" x14ac:dyDescent="0.3">
      <c r="A11" s="25" t="s">
        <v>12</v>
      </c>
      <c r="B11" s="26">
        <v>730</v>
      </c>
    </row>
    <row r="12" spans="1:2" x14ac:dyDescent="0.3">
      <c r="A12" s="25" t="s">
        <v>10</v>
      </c>
      <c r="B12" s="26">
        <v>210</v>
      </c>
    </row>
    <row r="13" spans="1:2" x14ac:dyDescent="0.3">
      <c r="A13" s="25" t="s">
        <v>13</v>
      </c>
      <c r="B13" s="26">
        <v>170</v>
      </c>
    </row>
    <row r="14" spans="1:2" x14ac:dyDescent="0.3">
      <c r="A14" s="25" t="s">
        <v>14</v>
      </c>
      <c r="B14" s="26">
        <v>790</v>
      </c>
    </row>
    <row r="15" spans="1:2" x14ac:dyDescent="0.3">
      <c r="A15" s="25" t="s">
        <v>16</v>
      </c>
      <c r="B15" s="26">
        <v>610</v>
      </c>
    </row>
    <row r="16" spans="1:2" x14ac:dyDescent="0.3">
      <c r="A16" s="25" t="s">
        <v>5</v>
      </c>
      <c r="B16" s="26">
        <v>250</v>
      </c>
    </row>
    <row r="17" spans="1:2" x14ac:dyDescent="0.3">
      <c r="A17" s="25" t="s">
        <v>15</v>
      </c>
      <c r="B17" s="26">
        <v>430</v>
      </c>
    </row>
    <row r="18" spans="1:2" x14ac:dyDescent="0.3">
      <c r="A18" s="25" t="s">
        <v>9</v>
      </c>
      <c r="B18" s="26">
        <v>400</v>
      </c>
    </row>
    <row r="19" spans="1:2" x14ac:dyDescent="0.3">
      <c r="A19" s="25" t="s">
        <v>50</v>
      </c>
      <c r="B19" s="26">
        <v>6840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C63A-E68A-46B0-B62C-BFD6A123BA5E}">
  <dimension ref="A1:N32"/>
  <sheetViews>
    <sheetView tabSelected="1" workbookViewId="0">
      <selection activeCell="N9" sqref="N9"/>
    </sheetView>
  </sheetViews>
  <sheetFormatPr defaultRowHeight="14.4" x14ac:dyDescent="0.3"/>
  <cols>
    <col min="1" max="1" width="13.88671875" customWidth="1"/>
    <col min="2" max="2" width="14.6640625" customWidth="1"/>
    <col min="4" max="4" width="17.44140625" customWidth="1"/>
    <col min="6" max="6" width="15.77734375" customWidth="1"/>
    <col min="7" max="7" width="14.109375" customWidth="1"/>
    <col min="9" max="9" width="12.6640625" customWidth="1"/>
    <col min="10" max="10" width="15.33203125" bestFit="1" customWidth="1"/>
  </cols>
  <sheetData>
    <row r="1" spans="1:14" ht="27" customHeight="1" x14ac:dyDescent="0.5">
      <c r="A1" s="23" t="s">
        <v>4</v>
      </c>
      <c r="B1" s="23"/>
      <c r="C1" s="23"/>
      <c r="D1" s="23"/>
      <c r="F1" s="5" t="s">
        <v>21</v>
      </c>
      <c r="G1" s="4"/>
      <c r="I1" s="21" t="s">
        <v>38</v>
      </c>
      <c r="J1" s="21"/>
    </row>
    <row r="2" spans="1:14" ht="22.2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F2" s="6" t="s">
        <v>22</v>
      </c>
      <c r="G2" s="6" t="s">
        <v>23</v>
      </c>
      <c r="I2" s="7" t="s">
        <v>22</v>
      </c>
      <c r="J2" s="7" t="s">
        <v>23</v>
      </c>
    </row>
    <row r="3" spans="1:14" x14ac:dyDescent="0.3">
      <c r="A3" s="2" t="s">
        <v>5</v>
      </c>
      <c r="B3" s="2">
        <v>250</v>
      </c>
      <c r="C3" s="3">
        <v>45000</v>
      </c>
      <c r="D3" s="2">
        <v>8</v>
      </c>
      <c r="F3" s="2" t="s">
        <v>24</v>
      </c>
      <c r="G3" s="2">
        <f>SUM(B3:B17)</f>
        <v>6840</v>
      </c>
      <c r="I3" s="2" t="s">
        <v>39</v>
      </c>
      <c r="J3" s="8">
        <f ca="1">TODAY()</f>
        <v>46069</v>
      </c>
    </row>
    <row r="4" spans="1:14" x14ac:dyDescent="0.3">
      <c r="A4" s="2" t="s">
        <v>6</v>
      </c>
      <c r="B4" s="2">
        <v>180</v>
      </c>
      <c r="C4" s="3">
        <v>34000</v>
      </c>
      <c r="D4" s="2">
        <v>6</v>
      </c>
      <c r="F4" s="2" t="s">
        <v>25</v>
      </c>
      <c r="G4" s="3">
        <f>AVERAGE(C3:C16)</f>
        <v>47928.571428571428</v>
      </c>
      <c r="I4" s="2" t="s">
        <v>40</v>
      </c>
      <c r="J4" s="9">
        <f ca="1">NOW()</f>
        <v>46069.866036342595</v>
      </c>
    </row>
    <row r="5" spans="1:14" x14ac:dyDescent="0.3">
      <c r="A5" s="2" t="s">
        <v>7</v>
      </c>
      <c r="B5" s="2">
        <v>320</v>
      </c>
      <c r="C5" s="3">
        <v>25000</v>
      </c>
      <c r="D5" s="2">
        <v>10</v>
      </c>
      <c r="F5" s="2" t="s">
        <v>26</v>
      </c>
      <c r="G5" s="3">
        <f>MIN(C3:C17)</f>
        <v>11000</v>
      </c>
    </row>
    <row r="6" spans="1:14" ht="21" x14ac:dyDescent="0.4">
      <c r="A6" s="2" t="s">
        <v>8</v>
      </c>
      <c r="B6" s="2">
        <v>150</v>
      </c>
      <c r="C6" s="3">
        <v>12000</v>
      </c>
      <c r="D6" s="2">
        <v>5</v>
      </c>
      <c r="F6" s="2" t="s">
        <v>27</v>
      </c>
      <c r="G6" s="3">
        <f>MAX(C3:C17)</f>
        <v>91000</v>
      </c>
      <c r="I6" s="22" t="s">
        <v>41</v>
      </c>
      <c r="J6" s="22"/>
    </row>
    <row r="7" spans="1:14" x14ac:dyDescent="0.3">
      <c r="A7" s="2" t="s">
        <v>9</v>
      </c>
      <c r="B7" s="2">
        <v>400</v>
      </c>
      <c r="C7" s="3">
        <v>54000</v>
      </c>
      <c r="D7" s="2">
        <v>12</v>
      </c>
      <c r="F7" s="2" t="s">
        <v>28</v>
      </c>
      <c r="G7" s="2">
        <f>COUNT(B3:B17)</f>
        <v>15</v>
      </c>
      <c r="I7" s="11" t="s">
        <v>22</v>
      </c>
      <c r="J7" s="11" t="s">
        <v>23</v>
      </c>
    </row>
    <row r="8" spans="1:14" x14ac:dyDescent="0.3">
      <c r="A8" s="2" t="s">
        <v>10</v>
      </c>
      <c r="B8" s="2">
        <v>210</v>
      </c>
      <c r="C8" s="3">
        <v>89000</v>
      </c>
      <c r="D8" s="2">
        <v>8</v>
      </c>
      <c r="I8" s="2" t="s">
        <v>42</v>
      </c>
      <c r="J8" s="10">
        <f>PMT(10%/12,12,-100000)</f>
        <v>8791.5887230009594</v>
      </c>
    </row>
    <row r="9" spans="1:14" ht="21" x14ac:dyDescent="0.4">
      <c r="A9" s="2" t="s">
        <v>11</v>
      </c>
      <c r="B9" s="2">
        <v>530</v>
      </c>
      <c r="C9" s="3">
        <v>50000</v>
      </c>
      <c r="D9" s="2">
        <v>9</v>
      </c>
      <c r="F9" s="21" t="s">
        <v>29</v>
      </c>
      <c r="G9" s="21"/>
      <c r="I9" s="2" t="s">
        <v>43</v>
      </c>
      <c r="J9" s="10">
        <f>NPV(10%,C2:C6)</f>
        <v>95987.295949730193</v>
      </c>
      <c r="L9" s="12"/>
      <c r="M9" s="13"/>
      <c r="N9" s="14"/>
    </row>
    <row r="10" spans="1:14" x14ac:dyDescent="0.3">
      <c r="A10" s="2" t="s">
        <v>12</v>
      </c>
      <c r="B10" s="2">
        <v>730</v>
      </c>
      <c r="C10" s="3">
        <v>21000</v>
      </c>
      <c r="D10" s="2">
        <v>11</v>
      </c>
      <c r="F10" s="2" t="s">
        <v>30</v>
      </c>
      <c r="G10" s="2" t="str">
        <f>IF(B3&gt;300,"SATISFYING","NOT SATISFYING")</f>
        <v>NOT SATISFYING</v>
      </c>
      <c r="L10" s="15"/>
      <c r="M10" s="16"/>
      <c r="N10" s="17"/>
    </row>
    <row r="11" spans="1:14" ht="21" x14ac:dyDescent="0.4">
      <c r="A11" s="2" t="s">
        <v>13</v>
      </c>
      <c r="B11" s="2">
        <v>170</v>
      </c>
      <c r="C11" s="3">
        <v>67000</v>
      </c>
      <c r="D11" s="2">
        <v>7</v>
      </c>
      <c r="F11" s="2" t="s">
        <v>31</v>
      </c>
      <c r="G11" s="2" t="b">
        <f>AND(C3&gt;20000,D3&gt;5)</f>
        <v>1</v>
      </c>
      <c r="I11" s="22" t="s">
        <v>44</v>
      </c>
      <c r="J11" s="22"/>
      <c r="L11" s="15"/>
      <c r="M11" s="16"/>
      <c r="N11" s="17"/>
    </row>
    <row r="12" spans="1:14" x14ac:dyDescent="0.3">
      <c r="A12" s="2" t="s">
        <v>14</v>
      </c>
      <c r="B12" s="2">
        <v>790</v>
      </c>
      <c r="C12" s="3">
        <v>79000</v>
      </c>
      <c r="D12" s="2">
        <v>13</v>
      </c>
      <c r="F12" s="2" t="s">
        <v>32</v>
      </c>
      <c r="G12" s="2" t="b">
        <f>OR(B3&gt;500,C2&gt;90000)</f>
        <v>1</v>
      </c>
      <c r="I12" s="11" t="s">
        <v>22</v>
      </c>
      <c r="J12" s="11" t="s">
        <v>45</v>
      </c>
      <c r="L12" s="15"/>
      <c r="M12" s="16"/>
      <c r="N12" s="17"/>
    </row>
    <row r="13" spans="1:14" x14ac:dyDescent="0.3">
      <c r="A13" s="2" t="s">
        <v>15</v>
      </c>
      <c r="B13" s="2">
        <v>430</v>
      </c>
      <c r="C13" s="3">
        <v>48000</v>
      </c>
      <c r="D13" s="2">
        <v>10</v>
      </c>
      <c r="I13" s="2" t="s">
        <v>46</v>
      </c>
      <c r="J13" s="2">
        <f>VLOOKUP("Republic Day",A3:D17,2,FALSE)</f>
        <v>170</v>
      </c>
      <c r="L13" s="15"/>
      <c r="M13" s="16"/>
      <c r="N13" s="17"/>
    </row>
    <row r="14" spans="1:14" ht="21" x14ac:dyDescent="0.4">
      <c r="A14" s="2" t="s">
        <v>16</v>
      </c>
      <c r="B14" s="2">
        <v>610</v>
      </c>
      <c r="C14" s="3">
        <v>45000</v>
      </c>
      <c r="D14" s="2">
        <v>11</v>
      </c>
      <c r="F14" s="21" t="s">
        <v>33</v>
      </c>
      <c r="G14" s="21"/>
      <c r="I14" s="2" t="s">
        <v>47</v>
      </c>
      <c r="J14" s="2">
        <f>HLOOKUP("Cost",A2:D3,2,FALSE)</f>
        <v>45000</v>
      </c>
      <c r="L14" s="15"/>
      <c r="M14" s="16"/>
      <c r="N14" s="17"/>
    </row>
    <row r="15" spans="1:14" x14ac:dyDescent="0.3">
      <c r="A15" s="2" t="s">
        <v>18</v>
      </c>
      <c r="B15" s="2">
        <v>270</v>
      </c>
      <c r="C15" s="3">
        <v>11000</v>
      </c>
      <c r="D15" s="2">
        <v>6</v>
      </c>
      <c r="F15" s="7" t="s">
        <v>22</v>
      </c>
      <c r="G15" s="7" t="s">
        <v>23</v>
      </c>
      <c r="I15" s="2" t="s">
        <v>48</v>
      </c>
      <c r="J15" s="2">
        <f>_xlfn.XLOOKUP("Winter",A3:A17,C3:C17)</f>
        <v>54000</v>
      </c>
      <c r="L15" s="15"/>
      <c r="M15" s="16"/>
      <c r="N15" s="17"/>
    </row>
    <row r="16" spans="1:14" x14ac:dyDescent="0.3">
      <c r="A16" s="2" t="s">
        <v>19</v>
      </c>
      <c r="B16" s="2">
        <v>860</v>
      </c>
      <c r="C16" s="3">
        <v>91000</v>
      </c>
      <c r="D16" s="2">
        <v>12</v>
      </c>
      <c r="F16" s="2" t="s">
        <v>34</v>
      </c>
      <c r="G16" s="2" t="str">
        <f>LEFT(A9,3)</f>
        <v>Gir</v>
      </c>
      <c r="L16" s="15"/>
      <c r="M16" s="16"/>
      <c r="N16" s="17"/>
    </row>
    <row r="17" spans="1:14" x14ac:dyDescent="0.3">
      <c r="A17" s="2" t="s">
        <v>20</v>
      </c>
      <c r="B17" s="2">
        <v>940</v>
      </c>
      <c r="C17" s="3">
        <v>37000</v>
      </c>
      <c r="D17" s="2">
        <v>15</v>
      </c>
      <c r="F17" s="2" t="s">
        <v>35</v>
      </c>
      <c r="G17" s="2" t="str">
        <f>RIGHT(A10,3)</f>
        <v>oon</v>
      </c>
      <c r="L17" s="15"/>
      <c r="M17" s="16"/>
      <c r="N17" s="17"/>
    </row>
    <row r="18" spans="1:14" x14ac:dyDescent="0.3">
      <c r="F18" s="2" t="s">
        <v>36</v>
      </c>
      <c r="G18" s="2" t="str">
        <f>MID(A10,4,3)</f>
        <v>soo</v>
      </c>
      <c r="L18" s="15"/>
      <c r="M18" s="16"/>
      <c r="N18" s="17"/>
    </row>
    <row r="19" spans="1:14" x14ac:dyDescent="0.3">
      <c r="F19" s="2" t="s">
        <v>37</v>
      </c>
      <c r="G19" s="2" t="str">
        <f>_xlfn.CONCAT(A9,"",B9)</f>
        <v>Girl's Day530</v>
      </c>
      <c r="L19" s="15"/>
      <c r="M19" s="16"/>
      <c r="N19" s="17"/>
    </row>
    <row r="20" spans="1:14" x14ac:dyDescent="0.3">
      <c r="L20" s="15"/>
      <c r="M20" s="16"/>
      <c r="N20" s="17"/>
    </row>
    <row r="21" spans="1:14" x14ac:dyDescent="0.3">
      <c r="L21" s="15"/>
      <c r="M21" s="16"/>
      <c r="N21" s="17"/>
    </row>
    <row r="22" spans="1:14" x14ac:dyDescent="0.3">
      <c r="L22" s="15"/>
      <c r="M22" s="16"/>
      <c r="N22" s="17"/>
    </row>
    <row r="23" spans="1:14" x14ac:dyDescent="0.3">
      <c r="L23" s="15"/>
      <c r="M23" s="16"/>
      <c r="N23" s="17"/>
    </row>
    <row r="24" spans="1:14" x14ac:dyDescent="0.3">
      <c r="L24" s="15"/>
      <c r="M24" s="16"/>
      <c r="N24" s="17"/>
    </row>
    <row r="25" spans="1:14" x14ac:dyDescent="0.3">
      <c r="L25" s="15"/>
      <c r="M25" s="16"/>
      <c r="N25" s="17"/>
    </row>
    <row r="26" spans="1:14" x14ac:dyDescent="0.3">
      <c r="L26" s="18"/>
      <c r="M26" s="19"/>
      <c r="N26" s="20"/>
    </row>
    <row r="32" spans="1:14" x14ac:dyDescent="0.3">
      <c r="A32" t="s">
        <v>17</v>
      </c>
    </row>
  </sheetData>
  <mergeCells count="6">
    <mergeCell ref="F14:G14"/>
    <mergeCell ref="I1:J1"/>
    <mergeCell ref="I6:J6"/>
    <mergeCell ref="I11:J11"/>
    <mergeCell ref="A1:D1"/>
    <mergeCell ref="F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2026-02-16T14:02:39Z</dcterms:created>
  <dcterms:modified xsi:type="dcterms:W3CDTF">2026-02-16T15:18:04Z</dcterms:modified>
</cp:coreProperties>
</file>